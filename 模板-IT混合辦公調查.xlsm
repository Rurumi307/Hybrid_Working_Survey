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Repo\zz_SideProject\tools\Hybrid_Working_Survey\"/>
    </mc:Choice>
  </mc:AlternateContent>
  <bookViews>
    <workbookView xWindow="0" yWindow="0" windowWidth="23040" windowHeight="10452" activeTab="1"/>
  </bookViews>
  <sheets>
    <sheet name="公式表" sheetId="1" r:id="rId1"/>
    <sheet name="工作表2" sheetId="5" r:id="rId2"/>
    <sheet name="狀態清單" sheetId="4" r:id="rId3"/>
    <sheet name="IT名單" sheetId="3" r:id="rId4"/>
    <sheet name="假期對照表" sheetId="2" r:id="rId5"/>
  </sheets>
  <definedNames>
    <definedName name="_xlnm._FilterDatabase" localSheetId="0" hidden="1">公式表!$A$3:$AI$198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1" l="1"/>
  <c r="B5" i="1"/>
  <c r="C5" i="1"/>
  <c r="D5" i="1"/>
  <c r="A6" i="1"/>
  <c r="B6" i="1"/>
  <c r="C6" i="1"/>
  <c r="D6" i="1"/>
  <c r="A7" i="1"/>
  <c r="B7" i="1"/>
  <c r="C7" i="1"/>
  <c r="D7" i="1"/>
  <c r="A8" i="1"/>
  <c r="B8" i="1"/>
  <c r="C8" i="1"/>
  <c r="D8" i="1"/>
  <c r="A9" i="1"/>
  <c r="B9" i="1"/>
  <c r="C9" i="1"/>
  <c r="D9" i="1"/>
  <c r="A10" i="1"/>
  <c r="B10" i="1"/>
  <c r="C10" i="1"/>
  <c r="D10" i="1"/>
  <c r="A11" i="1"/>
  <c r="B11" i="1"/>
  <c r="C11" i="1"/>
  <c r="D11" i="1"/>
  <c r="A12" i="1"/>
  <c r="B12" i="1"/>
  <c r="C12" i="1"/>
  <c r="D12" i="1"/>
  <c r="A13" i="1"/>
  <c r="B13" i="1"/>
  <c r="C13" i="1"/>
  <c r="D13" i="1"/>
  <c r="A14" i="1"/>
  <c r="B14" i="1"/>
  <c r="C14" i="1"/>
  <c r="D14" i="1"/>
  <c r="A15" i="1"/>
  <c r="B15" i="1"/>
  <c r="C15" i="1"/>
  <c r="D15" i="1"/>
  <c r="A16" i="1"/>
  <c r="B16" i="1"/>
  <c r="C16" i="1"/>
  <c r="D16" i="1"/>
  <c r="A17" i="1"/>
  <c r="B17" i="1"/>
  <c r="C17" i="1"/>
  <c r="D17" i="1"/>
  <c r="A18" i="1"/>
  <c r="B18" i="1"/>
  <c r="C18" i="1"/>
  <c r="D18" i="1"/>
  <c r="A19" i="1"/>
  <c r="B19" i="1"/>
  <c r="C19" i="1"/>
  <c r="D19" i="1"/>
  <c r="A20" i="1"/>
  <c r="B20" i="1"/>
  <c r="C20" i="1"/>
  <c r="D20" i="1"/>
  <c r="A21" i="1"/>
  <c r="B21" i="1"/>
  <c r="C21" i="1"/>
  <c r="D21" i="1"/>
  <c r="A22" i="1"/>
  <c r="B22" i="1"/>
  <c r="C22" i="1"/>
  <c r="D22" i="1"/>
  <c r="A23" i="1"/>
  <c r="B23" i="1"/>
  <c r="C23" i="1"/>
  <c r="D23" i="1"/>
  <c r="A24" i="1"/>
  <c r="B24" i="1"/>
  <c r="C24" i="1"/>
  <c r="D24" i="1"/>
  <c r="A25" i="1"/>
  <c r="B25" i="1"/>
  <c r="C25" i="1"/>
  <c r="D25" i="1"/>
  <c r="A26" i="1"/>
  <c r="B26" i="1"/>
  <c r="C26" i="1"/>
  <c r="D26" i="1"/>
  <c r="A27" i="1"/>
  <c r="B27" i="1"/>
  <c r="C27" i="1"/>
  <c r="D27" i="1"/>
  <c r="A28" i="1"/>
  <c r="B28" i="1"/>
  <c r="C28" i="1"/>
  <c r="D28" i="1"/>
  <c r="A29" i="1"/>
  <c r="B29" i="1"/>
  <c r="C29" i="1"/>
  <c r="D29" i="1"/>
  <c r="A30" i="1"/>
  <c r="B30" i="1"/>
  <c r="C30" i="1"/>
  <c r="D30" i="1"/>
  <c r="A31" i="1"/>
  <c r="B31" i="1"/>
  <c r="C31" i="1"/>
  <c r="D31" i="1"/>
  <c r="A32" i="1"/>
  <c r="B32" i="1"/>
  <c r="C32" i="1"/>
  <c r="D32" i="1"/>
  <c r="A33" i="1"/>
  <c r="B33" i="1"/>
  <c r="C33" i="1"/>
  <c r="D33" i="1"/>
  <c r="A34" i="1"/>
  <c r="B34" i="1"/>
  <c r="C34" i="1"/>
  <c r="D34" i="1"/>
  <c r="A35" i="1"/>
  <c r="B35" i="1"/>
  <c r="C35" i="1"/>
  <c r="D35" i="1"/>
  <c r="A36" i="1"/>
  <c r="B36" i="1"/>
  <c r="C36" i="1"/>
  <c r="D36" i="1"/>
  <c r="A37" i="1"/>
  <c r="B37" i="1"/>
  <c r="C37" i="1"/>
  <c r="D37" i="1"/>
  <c r="A38" i="1"/>
  <c r="B38" i="1"/>
  <c r="C38" i="1"/>
  <c r="D38" i="1"/>
  <c r="A39" i="1"/>
  <c r="B39" i="1"/>
  <c r="C39" i="1"/>
  <c r="D39" i="1"/>
  <c r="A40" i="1"/>
  <c r="B40" i="1"/>
  <c r="C40" i="1"/>
  <c r="D40" i="1"/>
  <c r="A41" i="1"/>
  <c r="B41" i="1"/>
  <c r="C41" i="1"/>
  <c r="D41" i="1"/>
  <c r="A42" i="1"/>
  <c r="B42" i="1"/>
  <c r="C42" i="1"/>
  <c r="D42" i="1"/>
  <c r="A43" i="1"/>
  <c r="B43" i="1"/>
  <c r="C43" i="1"/>
  <c r="D43" i="1"/>
  <c r="A44" i="1"/>
  <c r="B44" i="1"/>
  <c r="C44" i="1"/>
  <c r="D44" i="1"/>
  <c r="A45" i="1"/>
  <c r="B45" i="1"/>
  <c r="C45" i="1"/>
  <c r="D45" i="1"/>
  <c r="A46" i="1"/>
  <c r="B46" i="1"/>
  <c r="C46" i="1"/>
  <c r="D46" i="1"/>
  <c r="A47" i="1"/>
  <c r="B47" i="1"/>
  <c r="C47" i="1"/>
  <c r="D47" i="1"/>
  <c r="A48" i="1"/>
  <c r="B48" i="1"/>
  <c r="C48" i="1"/>
  <c r="D48" i="1"/>
  <c r="A49" i="1"/>
  <c r="B49" i="1"/>
  <c r="C49" i="1"/>
  <c r="D49" i="1"/>
  <c r="A50" i="1"/>
  <c r="B50" i="1"/>
  <c r="C50" i="1"/>
  <c r="D50" i="1"/>
  <c r="A51" i="1"/>
  <c r="B51" i="1"/>
  <c r="C51" i="1"/>
  <c r="D51" i="1"/>
  <c r="A52" i="1"/>
  <c r="B52" i="1"/>
  <c r="C52" i="1"/>
  <c r="D52" i="1"/>
  <c r="A53" i="1"/>
  <c r="B53" i="1"/>
  <c r="C53" i="1"/>
  <c r="D53" i="1"/>
  <c r="A54" i="1"/>
  <c r="B54" i="1"/>
  <c r="C54" i="1"/>
  <c r="D54" i="1"/>
  <c r="A55" i="1"/>
  <c r="B55" i="1"/>
  <c r="C55" i="1"/>
  <c r="D55" i="1"/>
  <c r="A56" i="1"/>
  <c r="B56" i="1"/>
  <c r="C56" i="1"/>
  <c r="D56" i="1"/>
  <c r="A57" i="1"/>
  <c r="B57" i="1"/>
  <c r="C57" i="1"/>
  <c r="D57" i="1"/>
  <c r="A58" i="1"/>
  <c r="B58" i="1"/>
  <c r="C58" i="1"/>
  <c r="D58" i="1"/>
  <c r="A59" i="1"/>
  <c r="B59" i="1"/>
  <c r="C59" i="1"/>
  <c r="D59" i="1"/>
  <c r="A60" i="1"/>
  <c r="B60" i="1"/>
  <c r="C60" i="1"/>
  <c r="D60" i="1"/>
  <c r="A61" i="1"/>
  <c r="B61" i="1"/>
  <c r="C61" i="1"/>
  <c r="D61" i="1"/>
  <c r="A62" i="1"/>
  <c r="B62" i="1"/>
  <c r="C62" i="1"/>
  <c r="D62" i="1"/>
  <c r="A63" i="1"/>
  <c r="B63" i="1"/>
  <c r="C63" i="1"/>
  <c r="D63" i="1"/>
  <c r="A64" i="1"/>
  <c r="B64" i="1"/>
  <c r="C64" i="1"/>
  <c r="D64" i="1"/>
  <c r="A65" i="1"/>
  <c r="B65" i="1"/>
  <c r="C65" i="1"/>
  <c r="D65" i="1"/>
  <c r="A66" i="1"/>
  <c r="B66" i="1"/>
  <c r="C66" i="1"/>
  <c r="D66" i="1"/>
  <c r="A67" i="1"/>
  <c r="B67" i="1"/>
  <c r="C67" i="1"/>
  <c r="D67" i="1"/>
  <c r="A68" i="1"/>
  <c r="B68" i="1"/>
  <c r="C68" i="1"/>
  <c r="D68" i="1"/>
  <c r="A69" i="1"/>
  <c r="B69" i="1"/>
  <c r="C69" i="1"/>
  <c r="D69" i="1"/>
  <c r="A70" i="1"/>
  <c r="B70" i="1"/>
  <c r="C70" i="1"/>
  <c r="D70" i="1"/>
  <c r="A71" i="1"/>
  <c r="B71" i="1"/>
  <c r="C71" i="1"/>
  <c r="D71" i="1"/>
  <c r="A72" i="1"/>
  <c r="B72" i="1"/>
  <c r="C72" i="1"/>
  <c r="D72" i="1"/>
  <c r="A73" i="1"/>
  <c r="B73" i="1"/>
  <c r="C73" i="1"/>
  <c r="D73" i="1"/>
  <c r="A74" i="1"/>
  <c r="B74" i="1"/>
  <c r="C74" i="1"/>
  <c r="D74" i="1"/>
  <c r="A75" i="1"/>
  <c r="B75" i="1"/>
  <c r="C75" i="1"/>
  <c r="D75" i="1"/>
  <c r="A76" i="1"/>
  <c r="B76" i="1"/>
  <c r="C76" i="1"/>
  <c r="D76" i="1"/>
  <c r="A77" i="1"/>
  <c r="B77" i="1"/>
  <c r="C77" i="1"/>
  <c r="D77" i="1"/>
  <c r="A78" i="1"/>
  <c r="B78" i="1"/>
  <c r="C78" i="1"/>
  <c r="D78" i="1"/>
  <c r="A79" i="1"/>
  <c r="B79" i="1"/>
  <c r="C79" i="1"/>
  <c r="D79" i="1"/>
  <c r="A80" i="1"/>
  <c r="B80" i="1"/>
  <c r="C80" i="1"/>
  <c r="D80" i="1"/>
  <c r="A81" i="1"/>
  <c r="B81" i="1"/>
  <c r="C81" i="1"/>
  <c r="D81" i="1"/>
  <c r="A82" i="1"/>
  <c r="B82" i="1"/>
  <c r="C82" i="1"/>
  <c r="D82" i="1"/>
  <c r="A83" i="1"/>
  <c r="B83" i="1"/>
  <c r="C83" i="1"/>
  <c r="D83" i="1"/>
  <c r="A84" i="1"/>
  <c r="B84" i="1"/>
  <c r="C84" i="1"/>
  <c r="D84" i="1"/>
  <c r="A85" i="1"/>
  <c r="B85" i="1"/>
  <c r="C85" i="1"/>
  <c r="D85" i="1"/>
  <c r="A86" i="1"/>
  <c r="B86" i="1"/>
  <c r="C86" i="1"/>
  <c r="D86" i="1"/>
  <c r="A87" i="1"/>
  <c r="B87" i="1"/>
  <c r="C87" i="1"/>
  <c r="D87" i="1"/>
  <c r="A88" i="1"/>
  <c r="B88" i="1"/>
  <c r="C88" i="1"/>
  <c r="D88" i="1"/>
  <c r="A89" i="1"/>
  <c r="B89" i="1"/>
  <c r="C89" i="1"/>
  <c r="D89" i="1"/>
  <c r="A90" i="1"/>
  <c r="B90" i="1"/>
  <c r="C90" i="1"/>
  <c r="D90" i="1"/>
  <c r="A91" i="1"/>
  <c r="B91" i="1"/>
  <c r="C91" i="1"/>
  <c r="D91" i="1"/>
  <c r="A92" i="1"/>
  <c r="B92" i="1"/>
  <c r="C92" i="1"/>
  <c r="D92" i="1"/>
  <c r="A93" i="1"/>
  <c r="B93" i="1"/>
  <c r="C93" i="1"/>
  <c r="D93" i="1"/>
  <c r="A94" i="1"/>
  <c r="B94" i="1"/>
  <c r="C94" i="1"/>
  <c r="D94" i="1"/>
  <c r="A95" i="1"/>
  <c r="B95" i="1"/>
  <c r="C95" i="1"/>
  <c r="D95" i="1"/>
  <c r="A96" i="1"/>
  <c r="B96" i="1"/>
  <c r="C96" i="1"/>
  <c r="D96" i="1"/>
  <c r="A97" i="1"/>
  <c r="B97" i="1"/>
  <c r="C97" i="1"/>
  <c r="D97" i="1"/>
  <c r="A98" i="1"/>
  <c r="B98" i="1"/>
  <c r="C98" i="1"/>
  <c r="D98" i="1"/>
  <c r="A99" i="1"/>
  <c r="B99" i="1"/>
  <c r="C99" i="1"/>
  <c r="D99" i="1"/>
  <c r="A100" i="1"/>
  <c r="B100" i="1"/>
  <c r="C100" i="1"/>
  <c r="D100" i="1"/>
  <c r="A101" i="1"/>
  <c r="B101" i="1"/>
  <c r="C101" i="1"/>
  <c r="D101" i="1"/>
  <c r="A102" i="1"/>
  <c r="B102" i="1"/>
  <c r="C102" i="1"/>
  <c r="D102" i="1"/>
  <c r="A103" i="1"/>
  <c r="B103" i="1"/>
  <c r="C103" i="1"/>
  <c r="D103" i="1"/>
  <c r="A104" i="1"/>
  <c r="B104" i="1"/>
  <c r="C104" i="1"/>
  <c r="D104" i="1"/>
  <c r="A105" i="1"/>
  <c r="B105" i="1"/>
  <c r="C105" i="1"/>
  <c r="D105" i="1"/>
  <c r="A106" i="1"/>
  <c r="B106" i="1"/>
  <c r="C106" i="1"/>
  <c r="D106" i="1"/>
  <c r="A107" i="1"/>
  <c r="B107" i="1"/>
  <c r="C107" i="1"/>
  <c r="D107" i="1"/>
  <c r="A108" i="1"/>
  <c r="B108" i="1"/>
  <c r="C108" i="1"/>
  <c r="D108" i="1"/>
  <c r="A109" i="1"/>
  <c r="B109" i="1"/>
  <c r="C109" i="1"/>
  <c r="D109" i="1"/>
  <c r="A110" i="1"/>
  <c r="B110" i="1"/>
  <c r="C110" i="1"/>
  <c r="D110" i="1"/>
  <c r="A111" i="1"/>
  <c r="B111" i="1"/>
  <c r="C111" i="1"/>
  <c r="D111" i="1"/>
  <c r="A112" i="1"/>
  <c r="B112" i="1"/>
  <c r="C112" i="1"/>
  <c r="D112" i="1"/>
  <c r="A113" i="1"/>
  <c r="B113" i="1"/>
  <c r="C113" i="1"/>
  <c r="D113" i="1"/>
  <c r="A114" i="1"/>
  <c r="B114" i="1"/>
  <c r="C114" i="1"/>
  <c r="D114" i="1"/>
  <c r="A115" i="1"/>
  <c r="B115" i="1"/>
  <c r="C115" i="1"/>
  <c r="D115" i="1"/>
  <c r="A116" i="1"/>
  <c r="B116" i="1"/>
  <c r="C116" i="1"/>
  <c r="D116" i="1"/>
  <c r="A117" i="1"/>
  <c r="B117" i="1"/>
  <c r="C117" i="1"/>
  <c r="D117" i="1"/>
  <c r="A118" i="1"/>
  <c r="B118" i="1"/>
  <c r="C118" i="1"/>
  <c r="D118" i="1"/>
  <c r="A119" i="1"/>
  <c r="B119" i="1"/>
  <c r="C119" i="1"/>
  <c r="D119" i="1"/>
  <c r="A120" i="1"/>
  <c r="B120" i="1"/>
  <c r="C120" i="1"/>
  <c r="D120" i="1"/>
  <c r="A121" i="1"/>
  <c r="B121" i="1"/>
  <c r="C121" i="1"/>
  <c r="D121" i="1"/>
  <c r="A122" i="1"/>
  <c r="B122" i="1"/>
  <c r="C122" i="1"/>
  <c r="D122" i="1"/>
  <c r="A123" i="1"/>
  <c r="B123" i="1"/>
  <c r="C123" i="1"/>
  <c r="D123" i="1"/>
  <c r="A124" i="1"/>
  <c r="B124" i="1"/>
  <c r="C124" i="1"/>
  <c r="D124" i="1"/>
  <c r="A125" i="1"/>
  <c r="B125" i="1"/>
  <c r="C125" i="1"/>
  <c r="D125" i="1"/>
  <c r="A126" i="1"/>
  <c r="B126" i="1"/>
  <c r="C126" i="1"/>
  <c r="D126" i="1"/>
  <c r="A127" i="1"/>
  <c r="B127" i="1"/>
  <c r="C127" i="1"/>
  <c r="D127" i="1"/>
  <c r="A128" i="1"/>
  <c r="B128" i="1"/>
  <c r="C128" i="1"/>
  <c r="D128" i="1"/>
  <c r="A129" i="1"/>
  <c r="B129" i="1"/>
  <c r="C129" i="1"/>
  <c r="D129" i="1"/>
  <c r="A130" i="1"/>
  <c r="B130" i="1"/>
  <c r="C130" i="1"/>
  <c r="D130" i="1"/>
  <c r="A131" i="1"/>
  <c r="B131" i="1"/>
  <c r="C131" i="1"/>
  <c r="D131" i="1"/>
  <c r="A132" i="1"/>
  <c r="B132" i="1"/>
  <c r="C132" i="1"/>
  <c r="D132" i="1"/>
  <c r="A133" i="1"/>
  <c r="B133" i="1"/>
  <c r="C133" i="1"/>
  <c r="D133" i="1"/>
  <c r="A134" i="1"/>
  <c r="B134" i="1"/>
  <c r="C134" i="1"/>
  <c r="D134" i="1"/>
  <c r="A135" i="1"/>
  <c r="B135" i="1"/>
  <c r="C135" i="1"/>
  <c r="D135" i="1"/>
  <c r="A136" i="1"/>
  <c r="B136" i="1"/>
  <c r="C136" i="1"/>
  <c r="D136" i="1"/>
  <c r="A137" i="1"/>
  <c r="B137" i="1"/>
  <c r="C137" i="1"/>
  <c r="D137" i="1"/>
  <c r="A138" i="1"/>
  <c r="B138" i="1"/>
  <c r="C138" i="1"/>
  <c r="D138" i="1"/>
  <c r="A139" i="1"/>
  <c r="B139" i="1"/>
  <c r="C139" i="1"/>
  <c r="D139" i="1"/>
  <c r="A140" i="1"/>
  <c r="B140" i="1"/>
  <c r="C140" i="1"/>
  <c r="D140" i="1"/>
  <c r="A141" i="1"/>
  <c r="B141" i="1"/>
  <c r="C141" i="1"/>
  <c r="D141" i="1"/>
  <c r="A142" i="1"/>
  <c r="B142" i="1"/>
  <c r="C142" i="1"/>
  <c r="D142" i="1"/>
  <c r="A143" i="1"/>
  <c r="B143" i="1"/>
  <c r="C143" i="1"/>
  <c r="D143" i="1"/>
  <c r="A144" i="1"/>
  <c r="B144" i="1"/>
  <c r="C144" i="1"/>
  <c r="D144" i="1"/>
  <c r="A145" i="1"/>
  <c r="B145" i="1"/>
  <c r="C145" i="1"/>
  <c r="D145" i="1"/>
  <c r="A146" i="1"/>
  <c r="B146" i="1"/>
  <c r="C146" i="1"/>
  <c r="D146" i="1"/>
  <c r="A147" i="1"/>
  <c r="B147" i="1"/>
  <c r="C147" i="1"/>
  <c r="D147" i="1"/>
  <c r="A148" i="1"/>
  <c r="B148" i="1"/>
  <c r="C148" i="1"/>
  <c r="D148" i="1"/>
  <c r="A149" i="1"/>
  <c r="B149" i="1"/>
  <c r="C149" i="1"/>
  <c r="D149" i="1"/>
  <c r="A150" i="1"/>
  <c r="B150" i="1"/>
  <c r="C150" i="1"/>
  <c r="D150" i="1"/>
  <c r="A151" i="1"/>
  <c r="B151" i="1"/>
  <c r="C151" i="1"/>
  <c r="D151" i="1"/>
  <c r="A152" i="1"/>
  <c r="B152" i="1"/>
  <c r="C152" i="1"/>
  <c r="D152" i="1"/>
  <c r="A153" i="1"/>
  <c r="B153" i="1"/>
  <c r="C153" i="1"/>
  <c r="D153" i="1"/>
  <c r="A154" i="1"/>
  <c r="B154" i="1"/>
  <c r="C154" i="1"/>
  <c r="D154" i="1"/>
  <c r="A155" i="1"/>
  <c r="B155" i="1"/>
  <c r="C155" i="1"/>
  <c r="D155" i="1"/>
  <c r="A156" i="1"/>
  <c r="B156" i="1"/>
  <c r="C156" i="1"/>
  <c r="D156" i="1"/>
  <c r="A157" i="1"/>
  <c r="B157" i="1"/>
  <c r="C157" i="1"/>
  <c r="D157" i="1"/>
  <c r="A158" i="1"/>
  <c r="B158" i="1"/>
  <c r="C158" i="1"/>
  <c r="D158" i="1"/>
  <c r="A159" i="1"/>
  <c r="B159" i="1"/>
  <c r="C159" i="1"/>
  <c r="D159" i="1"/>
  <c r="A160" i="1"/>
  <c r="B160" i="1"/>
  <c r="C160" i="1"/>
  <c r="D160" i="1"/>
  <c r="A161" i="1"/>
  <c r="B161" i="1"/>
  <c r="C161" i="1"/>
  <c r="D161" i="1"/>
  <c r="A162" i="1"/>
  <c r="B162" i="1"/>
  <c r="C162" i="1"/>
  <c r="D162" i="1"/>
  <c r="A163" i="1"/>
  <c r="B163" i="1"/>
  <c r="C163" i="1"/>
  <c r="D163" i="1"/>
  <c r="A164" i="1"/>
  <c r="B164" i="1"/>
  <c r="C164" i="1"/>
  <c r="D164" i="1"/>
  <c r="A165" i="1"/>
  <c r="B165" i="1"/>
  <c r="C165" i="1"/>
  <c r="D165" i="1"/>
  <c r="A166" i="1"/>
  <c r="B166" i="1"/>
  <c r="C166" i="1"/>
  <c r="D166" i="1"/>
  <c r="A167" i="1"/>
  <c r="B167" i="1"/>
  <c r="C167" i="1"/>
  <c r="D167" i="1"/>
  <c r="A168" i="1"/>
  <c r="B168" i="1"/>
  <c r="C168" i="1"/>
  <c r="D168" i="1"/>
  <c r="A169" i="1"/>
  <c r="B169" i="1"/>
  <c r="C169" i="1"/>
  <c r="D169" i="1"/>
  <c r="A170" i="1"/>
  <c r="B170" i="1"/>
  <c r="C170" i="1"/>
  <c r="D170" i="1"/>
  <c r="A171" i="1"/>
  <c r="B171" i="1"/>
  <c r="C171" i="1"/>
  <c r="D171" i="1"/>
  <c r="A172" i="1"/>
  <c r="B172" i="1"/>
  <c r="C172" i="1"/>
  <c r="D172" i="1"/>
  <c r="A173" i="1"/>
  <c r="B173" i="1"/>
  <c r="C173" i="1"/>
  <c r="D173" i="1"/>
  <c r="A174" i="1"/>
  <c r="B174" i="1"/>
  <c r="C174" i="1"/>
  <c r="D174" i="1"/>
  <c r="A175" i="1"/>
  <c r="B175" i="1"/>
  <c r="C175" i="1"/>
  <c r="D175" i="1"/>
  <c r="A176" i="1"/>
  <c r="B176" i="1"/>
  <c r="C176" i="1"/>
  <c r="D176" i="1"/>
  <c r="A177" i="1"/>
  <c r="B177" i="1"/>
  <c r="C177" i="1"/>
  <c r="D177" i="1"/>
  <c r="A178" i="1"/>
  <c r="B178" i="1"/>
  <c r="C178" i="1"/>
  <c r="D178" i="1"/>
  <c r="A179" i="1"/>
  <c r="B179" i="1"/>
  <c r="C179" i="1"/>
  <c r="D179" i="1"/>
  <c r="A180" i="1"/>
  <c r="B180" i="1"/>
  <c r="C180" i="1"/>
  <c r="D180" i="1"/>
  <c r="A181" i="1"/>
  <c r="B181" i="1"/>
  <c r="C181" i="1"/>
  <c r="D181" i="1"/>
  <c r="A182" i="1"/>
  <c r="B182" i="1"/>
  <c r="C182" i="1"/>
  <c r="D182" i="1"/>
  <c r="A183" i="1"/>
  <c r="B183" i="1"/>
  <c r="C183" i="1"/>
  <c r="D183" i="1"/>
  <c r="A184" i="1"/>
  <c r="B184" i="1"/>
  <c r="C184" i="1"/>
  <c r="D184" i="1"/>
  <c r="A185" i="1"/>
  <c r="B185" i="1"/>
  <c r="C185" i="1"/>
  <c r="D185" i="1"/>
  <c r="A186" i="1"/>
  <c r="B186" i="1"/>
  <c r="C186" i="1"/>
  <c r="D186" i="1"/>
  <c r="A187" i="1"/>
  <c r="B187" i="1"/>
  <c r="C187" i="1"/>
  <c r="D187" i="1"/>
  <c r="A188" i="1"/>
  <c r="B188" i="1"/>
  <c r="C188" i="1"/>
  <c r="D188" i="1"/>
  <c r="A189" i="1"/>
  <c r="B189" i="1"/>
  <c r="C189" i="1"/>
  <c r="D189" i="1"/>
  <c r="A190" i="1"/>
  <c r="B190" i="1"/>
  <c r="C190" i="1"/>
  <c r="D190" i="1"/>
  <c r="A191" i="1"/>
  <c r="B191" i="1"/>
  <c r="C191" i="1"/>
  <c r="D191" i="1"/>
  <c r="A192" i="1"/>
  <c r="B192" i="1"/>
  <c r="C192" i="1"/>
  <c r="D192" i="1"/>
  <c r="A193" i="1"/>
  <c r="B193" i="1"/>
  <c r="C193" i="1"/>
  <c r="D193" i="1"/>
  <c r="A194" i="1"/>
  <c r="B194" i="1"/>
  <c r="C194" i="1"/>
  <c r="D194" i="1"/>
  <c r="A195" i="1"/>
  <c r="B195" i="1"/>
  <c r="C195" i="1"/>
  <c r="D195" i="1"/>
  <c r="A196" i="1"/>
  <c r="B196" i="1"/>
  <c r="C196" i="1"/>
  <c r="D196" i="1"/>
  <c r="A197" i="1"/>
  <c r="B197" i="1"/>
  <c r="C197" i="1"/>
  <c r="D197" i="1"/>
  <c r="A198" i="1"/>
  <c r="B198" i="1"/>
  <c r="C198" i="1"/>
  <c r="D198" i="1"/>
  <c r="D4" i="1"/>
  <c r="C4" i="1"/>
  <c r="B4" i="1"/>
  <c r="A4" i="1"/>
  <c r="E3" i="1"/>
  <c r="E2" i="1" s="1"/>
  <c r="F3" i="1" l="1"/>
  <c r="F2" i="1" l="1"/>
  <c r="G3" i="1"/>
  <c r="G2" i="1" s="1"/>
  <c r="H3" i="1" l="1"/>
  <c r="H2" i="1" s="1"/>
  <c r="I3" i="1" l="1"/>
  <c r="I2" i="1" s="1"/>
  <c r="J3" i="1" l="1"/>
  <c r="J2" i="1" s="1"/>
  <c r="K3" i="1" l="1"/>
  <c r="K2" i="1" s="1"/>
  <c r="L3" i="1" l="1"/>
  <c r="L2" i="1" s="1"/>
  <c r="M3" i="1" l="1"/>
  <c r="M2" i="1" s="1"/>
  <c r="N3" i="1" l="1"/>
  <c r="N2" i="1" s="1"/>
  <c r="O3" i="1" l="1"/>
  <c r="O2" i="1" s="1"/>
  <c r="P3" i="1" l="1"/>
  <c r="P2" i="1" s="1"/>
  <c r="Q3" i="1" l="1"/>
  <c r="Q2" i="1" s="1"/>
  <c r="R3" i="1" l="1"/>
  <c r="R2" i="1" s="1"/>
  <c r="S3" i="1" l="1"/>
  <c r="S2" i="1" s="1"/>
  <c r="T3" i="1" l="1"/>
  <c r="T2" i="1" s="1"/>
  <c r="U3" i="1" l="1"/>
  <c r="U2" i="1" s="1"/>
  <c r="V3" i="1" l="1"/>
  <c r="V2" i="1" s="1"/>
  <c r="W3" i="1" l="1"/>
  <c r="W2" i="1" s="1"/>
  <c r="X3" i="1" l="1"/>
  <c r="X2" i="1" s="1"/>
  <c r="Y3" i="1" l="1"/>
  <c r="Y2" i="1" s="1"/>
  <c r="Z3" i="1" l="1"/>
  <c r="Z2" i="1" s="1"/>
  <c r="AA3" i="1" l="1"/>
  <c r="AA2" i="1" s="1"/>
  <c r="AB3" i="1" l="1"/>
  <c r="AB2" i="1" s="1"/>
  <c r="AC3" i="1" l="1"/>
  <c r="AC2" i="1" s="1"/>
  <c r="AD3" i="1" l="1"/>
  <c r="AD2" i="1" s="1"/>
  <c r="AE3" i="1" l="1"/>
  <c r="AE2" i="1" s="1"/>
  <c r="AF3" i="1" l="1"/>
  <c r="AF2" i="1" s="1"/>
  <c r="AG3" i="1" l="1"/>
  <c r="AG2" i="1" s="1"/>
  <c r="AH3" i="1" l="1"/>
  <c r="AH2" i="1" s="1"/>
  <c r="AI3" i="1" l="1"/>
  <c r="AI2" i="1" s="1"/>
</calcChain>
</file>

<file path=xl/sharedStrings.xml><?xml version="1.0" encoding="utf-8"?>
<sst xmlns="http://schemas.openxmlformats.org/spreadsheetml/2006/main" count="1496" uniqueCount="363">
  <si>
    <t>請輸入年度</t>
    <phoneticPr fontId="4" type="noConversion"/>
  </si>
  <si>
    <t>請輸入月份</t>
    <phoneticPr fontId="4" type="noConversion"/>
  </si>
  <si>
    <t>部門</t>
  </si>
  <si>
    <t>單位名</t>
  </si>
  <si>
    <t>工號</t>
  </si>
  <si>
    <t>姓名</t>
  </si>
  <si>
    <t>資訊中心</t>
  </si>
  <si>
    <t>IEC091264</t>
  </si>
  <si>
    <t>黃英哲</t>
  </si>
  <si>
    <t>IEC820303</t>
  </si>
  <si>
    <t>李明芬</t>
  </si>
  <si>
    <t>IEC010027</t>
  </si>
  <si>
    <t>何佳娟</t>
  </si>
  <si>
    <t>資訊技術處</t>
  </si>
  <si>
    <t>IEC851904</t>
  </si>
  <si>
    <t>謝明曉</t>
  </si>
  <si>
    <t>個人電腦資訊處</t>
  </si>
  <si>
    <t>IEC890330</t>
  </si>
  <si>
    <t>杜俊賢</t>
  </si>
  <si>
    <t>IEC870232</t>
  </si>
  <si>
    <t>林瑞益</t>
  </si>
  <si>
    <t>工程系統開發部</t>
  </si>
  <si>
    <t>IEC000152</t>
  </si>
  <si>
    <t>楊祖豪</t>
  </si>
  <si>
    <t>IEC070380</t>
  </si>
  <si>
    <t>張哲瑜</t>
  </si>
  <si>
    <t>IEC070545</t>
  </si>
  <si>
    <t>黃廷耀</t>
  </si>
  <si>
    <t>IEC070581</t>
  </si>
  <si>
    <t>楊雅萍</t>
  </si>
  <si>
    <t>IEC080514</t>
  </si>
  <si>
    <t>詹世毓</t>
  </si>
  <si>
    <t>IEC110852</t>
  </si>
  <si>
    <t>吳俊穎</t>
  </si>
  <si>
    <t>IEC830188</t>
  </si>
  <si>
    <t>楊千儀</t>
  </si>
  <si>
    <t>IEC841595</t>
  </si>
  <si>
    <t>朱桂慧</t>
  </si>
  <si>
    <t>IEC890118</t>
  </si>
  <si>
    <t>陳佳蘭</t>
  </si>
  <si>
    <t>IEC930076</t>
  </si>
  <si>
    <t>林泰源</t>
  </si>
  <si>
    <t>IEC950849</t>
  </si>
  <si>
    <t>張玟儀</t>
  </si>
  <si>
    <t>製造系統部</t>
  </si>
  <si>
    <t>IEC990282</t>
  </si>
  <si>
    <t>李坤樹</t>
  </si>
  <si>
    <t>IEC020164</t>
  </si>
  <si>
    <t>陳璟賢</t>
  </si>
  <si>
    <t>IEC060397</t>
  </si>
  <si>
    <t>蘇哲弘</t>
  </si>
  <si>
    <t>IEC070511</t>
  </si>
  <si>
    <t>姚乃文</t>
  </si>
  <si>
    <t>IEC090836</t>
  </si>
  <si>
    <t>郭依欣</t>
  </si>
  <si>
    <t>IEC110876</t>
  </si>
  <si>
    <t>余書銘</t>
  </si>
  <si>
    <t>IEC960919</t>
  </si>
  <si>
    <t>溫麗華</t>
  </si>
  <si>
    <t>IEC960923</t>
  </si>
  <si>
    <t>陳素貞</t>
  </si>
  <si>
    <t>IEC960924</t>
  </si>
  <si>
    <t>施雲騰</t>
  </si>
  <si>
    <t>IEC010273</t>
  </si>
  <si>
    <t>林凱翊</t>
  </si>
  <si>
    <t>供應鏈系統規劃部</t>
  </si>
  <si>
    <t>IEC050323</t>
  </si>
  <si>
    <t>薛喨</t>
  </si>
  <si>
    <t>IEC070274</t>
  </si>
  <si>
    <t>廖奕醒</t>
  </si>
  <si>
    <t>IEC100237</t>
  </si>
  <si>
    <t>惠子豪</t>
  </si>
  <si>
    <t>IEC120578</t>
  </si>
  <si>
    <t>丁唯馨</t>
  </si>
  <si>
    <t>IEC840098</t>
  </si>
  <si>
    <t>儲德梅</t>
  </si>
  <si>
    <t>IEC840506</t>
  </si>
  <si>
    <t>李仁義</t>
  </si>
  <si>
    <t>IEC850996</t>
  </si>
  <si>
    <t>洪秀瑜</t>
  </si>
  <si>
    <t>IEC852130</t>
  </si>
  <si>
    <t>楊承智</t>
  </si>
  <si>
    <t>IEC891049</t>
  </si>
  <si>
    <t>黃志鴻</t>
  </si>
  <si>
    <t>IEC940480</t>
  </si>
  <si>
    <t>高智原</t>
  </si>
  <si>
    <t>企業資訊部</t>
  </si>
  <si>
    <t>IEC891501</t>
  </si>
  <si>
    <t>宋敏慈</t>
  </si>
  <si>
    <t>IEC020039</t>
  </si>
  <si>
    <t>姜順瀚</t>
  </si>
  <si>
    <t>IEC120677</t>
  </si>
  <si>
    <t>李澎桐</t>
  </si>
  <si>
    <t>IEC120698</t>
  </si>
  <si>
    <t>蕭定翔</t>
  </si>
  <si>
    <t>IEC000337</t>
  </si>
  <si>
    <t>黃心儀</t>
  </si>
  <si>
    <t>IEC891652</t>
  </si>
  <si>
    <t>吳海峰</t>
  </si>
  <si>
    <t>IEC891794</t>
  </si>
  <si>
    <t>洪榮俊</t>
  </si>
  <si>
    <t>IEC891804</t>
  </si>
  <si>
    <t>吳冠儀</t>
  </si>
  <si>
    <t>IEC950497</t>
  </si>
  <si>
    <t>莊薇潔</t>
  </si>
  <si>
    <t>IEC950525</t>
  </si>
  <si>
    <t>張文錦</t>
  </si>
  <si>
    <t>IEC961345</t>
  </si>
  <si>
    <t>王昭鑫</t>
  </si>
  <si>
    <t>工程資訊部</t>
  </si>
  <si>
    <t>IEC971020</t>
  </si>
  <si>
    <t>謝志偉</t>
  </si>
  <si>
    <t>IEC120600</t>
  </si>
  <si>
    <t>張皓翔</t>
  </si>
  <si>
    <t>IEC121177</t>
  </si>
  <si>
    <t>謝上智</t>
  </si>
  <si>
    <t>IEC940614</t>
  </si>
  <si>
    <t>翁珮瑩</t>
  </si>
  <si>
    <t>IEC950848</t>
  </si>
  <si>
    <t>滿振呈</t>
  </si>
  <si>
    <t>IEC960920</t>
  </si>
  <si>
    <t>林慶芳</t>
  </si>
  <si>
    <t>IEC090665</t>
  </si>
  <si>
    <t>黃珮瑜</t>
  </si>
  <si>
    <t>辦公室自動化部</t>
  </si>
  <si>
    <t>IEC940858</t>
  </si>
  <si>
    <t>卓儀香</t>
  </si>
  <si>
    <t>IEC880056</t>
  </si>
  <si>
    <t>楊志金</t>
  </si>
  <si>
    <t>IEC891803</t>
  </si>
  <si>
    <t>江文狄</t>
  </si>
  <si>
    <t>IEC110460</t>
  </si>
  <si>
    <t>劉嘉萍</t>
  </si>
  <si>
    <t>IEC971170</t>
  </si>
  <si>
    <t>林匯融</t>
  </si>
  <si>
    <t>IEC130161</t>
  </si>
  <si>
    <t>黃采苓</t>
  </si>
  <si>
    <t>資訊安全管理部</t>
  </si>
  <si>
    <t>IEC000395</t>
  </si>
  <si>
    <t>陳界廷</t>
  </si>
  <si>
    <t>IEC020141</t>
  </si>
  <si>
    <t>黃上睿</t>
  </si>
  <si>
    <t>IEC060674</t>
  </si>
  <si>
    <t>劉益銘</t>
  </si>
  <si>
    <t>IEC080081</t>
  </si>
  <si>
    <t>顏振宇</t>
  </si>
  <si>
    <t>IEC090070</t>
  </si>
  <si>
    <t>吳彥廷</t>
  </si>
  <si>
    <t>IEC110694</t>
  </si>
  <si>
    <t>林婕妤</t>
  </si>
  <si>
    <t>資訊架構管理一部</t>
  </si>
  <si>
    <t>IEC861249</t>
  </si>
  <si>
    <t>陳明煌</t>
  </si>
  <si>
    <t>IEC000079</t>
  </si>
  <si>
    <t>洪兆禧</t>
  </si>
  <si>
    <t>IEC030375</t>
  </si>
  <si>
    <t>詹家銘</t>
  </si>
  <si>
    <t>IEC040174</t>
  </si>
  <si>
    <t>余美儒</t>
  </si>
  <si>
    <t>IEC060082</t>
  </si>
  <si>
    <t>林明賢</t>
  </si>
  <si>
    <t>IEC090481</t>
  </si>
  <si>
    <t>梁景翔</t>
  </si>
  <si>
    <t>IEC090725</t>
  </si>
  <si>
    <t>吳俊翰</t>
  </si>
  <si>
    <t>IEC110904</t>
  </si>
  <si>
    <t>呂志綸</t>
  </si>
  <si>
    <t>IEC120885</t>
  </si>
  <si>
    <t>李明訓</t>
  </si>
  <si>
    <t>IEC870050</t>
  </si>
  <si>
    <t>江家禎</t>
  </si>
  <si>
    <t>IEC891087</t>
  </si>
  <si>
    <t>許坤鋒</t>
  </si>
  <si>
    <t>IEC990333</t>
  </si>
  <si>
    <t>游博宇</t>
  </si>
  <si>
    <t>IEC130160</t>
  </si>
  <si>
    <t>遲正功</t>
  </si>
  <si>
    <t>伺服器資訊開發中心</t>
  </si>
  <si>
    <t>IEC930136</t>
  </si>
  <si>
    <t>王一安</t>
  </si>
  <si>
    <t>IEC130226</t>
  </si>
  <si>
    <t>謝育勳</t>
  </si>
  <si>
    <t>IEC870954</t>
  </si>
  <si>
    <t>司笑梅</t>
  </si>
  <si>
    <t>資訊專案計劃室</t>
  </si>
  <si>
    <t>IEC020266</t>
  </si>
  <si>
    <t>李思穎</t>
  </si>
  <si>
    <t>IEC040048</t>
  </si>
  <si>
    <t>陳洛麟</t>
  </si>
  <si>
    <t>IEC110946</t>
  </si>
  <si>
    <t>吳彥輝</t>
  </si>
  <si>
    <t>IEC120713</t>
  </si>
  <si>
    <t>楊家福</t>
  </si>
  <si>
    <t>IEC880176</t>
  </si>
  <si>
    <t>邱雯鈴</t>
  </si>
  <si>
    <t>IEC910097</t>
  </si>
  <si>
    <t>許智芳</t>
  </si>
  <si>
    <t>企業資訊開發二處</t>
  </si>
  <si>
    <t>IEC920431</t>
  </si>
  <si>
    <t>楊士興</t>
  </si>
  <si>
    <t>IEC870653</t>
  </si>
  <si>
    <t>龔志鴻</t>
  </si>
  <si>
    <t>企業資訊開發一部</t>
  </si>
  <si>
    <t>IEC980248</t>
  </si>
  <si>
    <t>楊民湘</t>
  </si>
  <si>
    <t>IEC091088</t>
  </si>
  <si>
    <t>趙美晏</t>
  </si>
  <si>
    <t>IEC100467</t>
  </si>
  <si>
    <t>莊晴如</t>
  </si>
  <si>
    <t>IEC100672</t>
  </si>
  <si>
    <t>陳睿汯</t>
  </si>
  <si>
    <t>IEC110748</t>
  </si>
  <si>
    <t>盧佳榕</t>
  </si>
  <si>
    <t>IEC120193</t>
  </si>
  <si>
    <t>黃振倫</t>
  </si>
  <si>
    <t>IEC120194</t>
  </si>
  <si>
    <t>陳昀靖</t>
  </si>
  <si>
    <t>IEC120661</t>
  </si>
  <si>
    <t>林芷如</t>
  </si>
  <si>
    <t>IEC870444</t>
  </si>
  <si>
    <t>曾麗青</t>
  </si>
  <si>
    <t>IEC880003</t>
  </si>
  <si>
    <t>林美芸</t>
  </si>
  <si>
    <t>IEC910148</t>
  </si>
  <si>
    <t>黃禎文</t>
  </si>
  <si>
    <t>IEC950587</t>
  </si>
  <si>
    <t>王麗卿</t>
  </si>
  <si>
    <t>IEC960797</t>
  </si>
  <si>
    <t>徐韻雯</t>
  </si>
  <si>
    <t>IEC960845</t>
  </si>
  <si>
    <t>黃信諭</t>
  </si>
  <si>
    <t>IEC971001</t>
  </si>
  <si>
    <t>俞國華</t>
  </si>
  <si>
    <t>IEC070430</t>
  </si>
  <si>
    <t>黃軍豪</t>
  </si>
  <si>
    <t>企業資訊開發二部</t>
  </si>
  <si>
    <t>IEC080082</t>
  </si>
  <si>
    <t>陳柏榮</t>
  </si>
  <si>
    <t>IEC000462</t>
  </si>
  <si>
    <t>黃國豐</t>
  </si>
  <si>
    <t>IEC010047</t>
  </si>
  <si>
    <t>林炳樑</t>
  </si>
  <si>
    <t>IEC020376</t>
  </si>
  <si>
    <t>施宇涵</t>
  </si>
  <si>
    <t>IEC120015</t>
  </si>
  <si>
    <t>古崇志</t>
  </si>
  <si>
    <t>IEC100278</t>
  </si>
  <si>
    <t>林穎彥</t>
  </si>
  <si>
    <t>系統營運管理部</t>
  </si>
  <si>
    <t>IEC960721</t>
  </si>
  <si>
    <t>林嘉麒</t>
  </si>
  <si>
    <t>IEC050281</t>
  </si>
  <si>
    <t>黃韻芳</t>
  </si>
  <si>
    <t>IEC080057</t>
  </si>
  <si>
    <t>林榆虹</t>
  </si>
  <si>
    <t>IEC090405</t>
  </si>
  <si>
    <t>謝祥昱</t>
  </si>
  <si>
    <t>IEC870561</t>
  </si>
  <si>
    <t>劉芊嶠</t>
  </si>
  <si>
    <t>IEC939220</t>
  </si>
  <si>
    <t>梁雪雲</t>
  </si>
  <si>
    <t>IEC959060</t>
  </si>
  <si>
    <t>謝旻文</t>
  </si>
  <si>
    <t>IEC960449</t>
  </si>
  <si>
    <t>曾于珊</t>
  </si>
  <si>
    <t>物料管理開發部</t>
  </si>
  <si>
    <t>IEC030190</t>
  </si>
  <si>
    <t>林鈺淵</t>
  </si>
  <si>
    <t>IEC020413</t>
  </si>
  <si>
    <t>戴婉如</t>
  </si>
  <si>
    <t>IEC070408</t>
  </si>
  <si>
    <t>劉育昕</t>
  </si>
  <si>
    <t>IEC110048</t>
  </si>
  <si>
    <t>王慶樺</t>
  </si>
  <si>
    <t>IEC110072</t>
  </si>
  <si>
    <t>楊彩汝</t>
  </si>
  <si>
    <t>IEC111482</t>
  </si>
  <si>
    <t>黃筱筑</t>
  </si>
  <si>
    <t>IEC120405</t>
  </si>
  <si>
    <t>謝孟秦</t>
  </si>
  <si>
    <t>IEC130086</t>
  </si>
  <si>
    <t>黃世華</t>
  </si>
  <si>
    <t>客戶需求開發部</t>
  </si>
  <si>
    <t>IEC880160</t>
  </si>
  <si>
    <t>彭立珍</t>
  </si>
  <si>
    <t>IEC090292</t>
  </si>
  <si>
    <t>陳彥廷</t>
  </si>
  <si>
    <t>IEC110142</t>
  </si>
  <si>
    <t>趙秉宏</t>
  </si>
  <si>
    <t>IEC121243</t>
  </si>
  <si>
    <t>連雅陞</t>
  </si>
  <si>
    <t>IEC130022</t>
  </si>
  <si>
    <t>彭麗璇</t>
  </si>
  <si>
    <t>IEC910718</t>
  </si>
  <si>
    <t>俞有清</t>
  </si>
  <si>
    <t>IEC960411</t>
  </si>
  <si>
    <t>陳國基</t>
  </si>
  <si>
    <t>IEC070325</t>
  </si>
  <si>
    <t>林瑞庭</t>
  </si>
  <si>
    <t>生產規劃開發部</t>
  </si>
  <si>
    <t>IEC810308</t>
  </si>
  <si>
    <t>張金生</t>
  </si>
  <si>
    <t>IEC870625</t>
  </si>
  <si>
    <t>羅祝英</t>
  </si>
  <si>
    <t>IEC050207</t>
  </si>
  <si>
    <t>林韋志</t>
  </si>
  <si>
    <t>IEC081008</t>
  </si>
  <si>
    <t>佘純寧</t>
  </si>
  <si>
    <t>IEC090902</t>
  </si>
  <si>
    <t>游雅婷</t>
  </si>
  <si>
    <t>IEC110724</t>
  </si>
  <si>
    <t>施佑霖</t>
  </si>
  <si>
    <t>IEC121085</t>
  </si>
  <si>
    <t>李玟萱</t>
  </si>
  <si>
    <t>資訊架構管理二部</t>
  </si>
  <si>
    <t>IEC110828</t>
  </si>
  <si>
    <t>林志鴻</t>
  </si>
  <si>
    <t>IEC080094</t>
  </si>
  <si>
    <t>林有為</t>
  </si>
  <si>
    <t>IEC010089</t>
  </si>
  <si>
    <t>黃信泰</t>
  </si>
  <si>
    <t>IEC070178</t>
  </si>
  <si>
    <t>劉學儒</t>
  </si>
  <si>
    <t>IEC081291</t>
  </si>
  <si>
    <t>林垂冠</t>
  </si>
  <si>
    <t>IEC081598</t>
  </si>
  <si>
    <t>廖運禎</t>
  </si>
  <si>
    <t>IEC090232</t>
  </si>
  <si>
    <t>胡志豪</t>
  </si>
  <si>
    <t>IEC110212</t>
  </si>
  <si>
    <t>陳登貴</t>
  </si>
  <si>
    <t>IEC110755</t>
  </si>
  <si>
    <t>陳建宇</t>
  </si>
  <si>
    <t>IEC110827</t>
  </si>
  <si>
    <t>蔡銘芳</t>
  </si>
  <si>
    <t>IEC000026</t>
  </si>
  <si>
    <t>羅元志</t>
  </si>
  <si>
    <t>IEC111359</t>
  </si>
  <si>
    <t>吳宏彬</t>
  </si>
  <si>
    <t>IEC111385</t>
  </si>
  <si>
    <t>黃議德</t>
  </si>
  <si>
    <t>IEC910102</t>
  </si>
  <si>
    <t>楊文河</t>
  </si>
  <si>
    <t>IEC910161</t>
  </si>
  <si>
    <t>陳莉青</t>
  </si>
  <si>
    <t>IEC910178</t>
  </si>
  <si>
    <t>田淳允</t>
  </si>
  <si>
    <t>IEC940508</t>
  </si>
  <si>
    <t>許惠媛</t>
  </si>
  <si>
    <t>IEC950779</t>
  </si>
  <si>
    <t>簡慈慧</t>
  </si>
  <si>
    <t>放假日</t>
    <phoneticPr fontId="4" type="noConversion"/>
  </si>
  <si>
    <t>日期</t>
    <phoneticPr fontId="4" type="noConversion"/>
  </si>
  <si>
    <t>進公司</t>
  </si>
  <si>
    <t>居家辦公</t>
  </si>
  <si>
    <t>出差</t>
  </si>
  <si>
    <t>請假</t>
  </si>
  <si>
    <t>第1週</t>
  </si>
  <si>
    <t>第2週</t>
  </si>
  <si>
    <t>第3週</t>
  </si>
  <si>
    <t>第4週</t>
  </si>
  <si>
    <t>第5週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</si>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</sst>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m&quot;月&quot;d&quot;日&quot;;@"/>
  </numFmts>
  <fonts count="10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0"/>
      <color theme="1"/>
      <name val="微軟正黑體"/>
      <family val="2"/>
      <charset val="136"/>
    </font>
    <font>
      <sz val="9"/>
      <name val="新細明體"/>
      <family val="2"/>
      <charset val="136"/>
      <scheme val="minor"/>
    </font>
    <font>
      <sz val="10"/>
      <color rgb="FF00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b/>
      <sz val="12"/>
      <color theme="1"/>
      <name val="微軟正黑體"/>
      <family val="2"/>
      <charset val="136"/>
    </font>
    <font>
      <sz val="12"/>
      <color rgb="FF000000"/>
      <name val="新細明體"/>
      <family val="1"/>
      <charset val="136"/>
      <scheme val="minor"/>
    </font>
    <font>
      <sz val="12"/>
      <color rgb="FF000000"/>
      <name val="新細明體"/>
      <family val="1"/>
      <charset val="136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5"/>
      </patternFill>
    </fill>
    <fill>
      <patternFill patternType="solid">
        <fgColor rgb="FFB0E0E6"/>
        <bgColor rgb="FF000000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/>
        <bgColor theme="9"/>
      </patternFill>
    </fill>
    <fill>
      <patternFill patternType="solid">
        <fgColor theme="9" tint="0.59999389629810485"/>
        <bgColor theme="9" tint="0.59999389629810485"/>
      </patternFill>
    </fill>
  </fills>
  <borders count="1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7F7F7F"/>
      </right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5" fillId="3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176" fontId="0" fillId="0" borderId="0" xfId="0" applyNumberFormat="1">
      <alignment vertical="center"/>
    </xf>
    <xf numFmtId="0" fontId="0" fillId="6" borderId="4" xfId="0" applyFont="1" applyFill="1" applyBorder="1">
      <alignment vertical="center"/>
    </xf>
    <xf numFmtId="176" fontId="2" fillId="5" borderId="0" xfId="0" applyNumberFormat="1" applyFont="1" applyFill="1" applyBorder="1">
      <alignment vertical="center"/>
    </xf>
    <xf numFmtId="0" fontId="2" fillId="5" borderId="5" xfId="0" applyFont="1" applyFill="1" applyBorder="1">
      <alignment vertical="center"/>
    </xf>
    <xf numFmtId="14" fontId="0" fillId="6" borderId="6" xfId="0" applyNumberFormat="1" applyFont="1" applyFill="1" applyBorder="1">
      <alignment vertical="center"/>
    </xf>
    <xf numFmtId="0" fontId="0" fillId="6" borderId="7" xfId="0" applyFont="1" applyFill="1" applyBorder="1">
      <alignment vertical="center"/>
    </xf>
    <xf numFmtId="14" fontId="0" fillId="4" borderId="8" xfId="0" applyNumberFormat="1" applyFont="1" applyFill="1" applyBorder="1">
      <alignment vertical="center"/>
    </xf>
    <xf numFmtId="0" fontId="0" fillId="4" borderId="4" xfId="0" applyFont="1" applyFill="1" applyBorder="1">
      <alignment vertical="center"/>
    </xf>
    <xf numFmtId="14" fontId="0" fillId="6" borderId="8" xfId="0" applyNumberFormat="1" applyFont="1" applyFill="1" applyBorder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14" fontId="6" fillId="0" borderId="0" xfId="0" applyNumberFormat="1" applyFont="1">
      <alignment vertical="center"/>
    </xf>
    <xf numFmtId="0" fontId="5" fillId="0" borderId="10" xfId="0" applyFont="1" applyBorder="1" applyAlignment="1">
      <alignment horizontal="center" vertical="center"/>
    </xf>
    <xf numFmtId="0" fontId="5" fillId="3" borderId="11" xfId="0" applyFont="1" applyFill="1" applyBorder="1" applyAlignment="1">
      <alignment horizontal="center" vertical="center"/>
    </xf>
    <xf numFmtId="49" fontId="5" fillId="0" borderId="9" xfId="0" applyNumberFormat="1" applyFont="1" applyBorder="1" applyAlignment="1">
      <alignment horizontal="center" vertical="center"/>
    </xf>
    <xf numFmtId="49" fontId="6" fillId="0" borderId="9" xfId="0" applyNumberFormat="1" applyFont="1" applyBorder="1" applyAlignment="1">
      <alignment horizontal="center" vertical="center"/>
    </xf>
    <xf numFmtId="49" fontId="0" fillId="0" borderId="0" xfId="0" applyNumberFormat="1">
      <alignment vertical="center"/>
    </xf>
    <xf numFmtId="49" fontId="0" fillId="0" borderId="0" xfId="0" applyNumberFormat="1" applyAlignment="1">
      <alignment horizontal="center" vertical="center"/>
    </xf>
    <xf numFmtId="0" fontId="6" fillId="0" borderId="0" xfId="0" applyFont="1" applyAlignment="1" applyProtection="1">
      <alignment horizontal="center" vertical="center" wrapText="1"/>
      <protection locked="0"/>
    </xf>
    <xf numFmtId="176" fontId="3" fillId="0" borderId="12" xfId="0" applyNumberFormat="1" applyFont="1" applyBorder="1" applyAlignment="1" applyProtection="1">
      <alignment horizontal="center" vertical="center"/>
      <protection locked="0"/>
    </xf>
    <xf numFmtId="0" fontId="6" fillId="2" borderId="0" xfId="1" applyFont="1" applyBorder="1" applyAlignment="1">
      <alignment horizontal="center" vertical="center"/>
    </xf>
    <xf numFmtId="0" fontId="6" fillId="2" borderId="3" xfId="1" applyFont="1" applyBorder="1" applyAlignment="1">
      <alignment horizontal="center" vertical="center"/>
    </xf>
    <xf numFmtId="0" fontId="8" fillId="0" borderId="0" xfId="0" applyFont="1">
      <alignment vertical="center"/>
    </xf>
  </cellXfs>
  <cellStyles count="2">
    <cellStyle name="40% - 輔色6" xfId="1" builtinId="51"/>
    <cellStyle name="一般" xfId="0" builtinId="0"/>
  </cellStyles>
  <dxfs count="12">
    <dxf>
      <fill>
        <patternFill>
          <bgColor theme="6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Spin" dx="26" fmlaLink="$K$1" max="12" min="1" page="10" val="5"/>
</file>

<file path=xl/ctrlProps/ctrlProp2.xml><?xml version="1.0" encoding="utf-8"?>
<formControlPr xmlns="http://schemas.microsoft.com/office/spreadsheetml/2009/9/main" objectType="Spin" dx="26" fmlaLink="$G$1" max="2099" min="2024" page="10" val="2024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7620</xdr:rowOff>
        </xdr:from>
        <xdr:to>
          <xdr:col>8</xdr:col>
          <xdr:colOff>15240</xdr:colOff>
          <xdr:row>1</xdr:row>
          <xdr:rowOff>15240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</xdr:colOff>
          <xdr:row>0</xdr:row>
          <xdr:rowOff>7620</xdr:rowOff>
        </xdr:from>
        <xdr:to>
          <xdr:col>12</xdr:col>
          <xdr:colOff>0</xdr:colOff>
          <xdr:row>1</xdr:row>
          <xdr:rowOff>0</xdr:rowOff>
        </xdr:to>
        <xdr:sp macro="" textlink="">
          <xdr:nvSpPr>
            <xdr:cNvPr id="1026" name="Spinner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670560</xdr:colOff>
          <xdr:row>0</xdr:row>
          <xdr:rowOff>0</xdr:rowOff>
        </xdr:from>
        <xdr:to>
          <xdr:col>15</xdr:col>
          <xdr:colOff>0</xdr:colOff>
          <xdr:row>0</xdr:row>
          <xdr:rowOff>381000</xdr:rowOff>
        </xdr:to>
        <xdr:sp macro="" textlink="">
          <xdr:nvSpPr>
            <xdr:cNvPr id="1063" name="產生報表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產生工作表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AI198"/>
  <sheetViews>
    <sheetView zoomScaleNormal="100" workbookViewId="0">
      <selection sqref="A1:XFD1048576"/>
    </sheetView>
  </sheetViews>
  <sheetFormatPr defaultRowHeight="16.2" x14ac:dyDescent="0.3"/>
  <cols>
    <col min="1" max="2" width="19.33203125" bestFit="1" customWidth="1"/>
    <col min="3" max="3" width="11.109375" bestFit="1" customWidth="1"/>
    <col min="4" max="4" width="7.21875" style="20" bestFit="1" customWidth="1"/>
    <col min="5" max="35" width="10" style="21" customWidth="1"/>
  </cols>
  <sheetData>
    <row r="1" spans="1:35" ht="31.8" customHeight="1" x14ac:dyDescent="0.3">
      <c r="A1" s="13"/>
      <c r="B1" s="13"/>
      <c r="C1" s="13"/>
      <c r="D1" s="13"/>
      <c r="E1" s="24" t="s">
        <v>0</v>
      </c>
      <c r="F1" s="25"/>
      <c r="G1" s="14">
        <v>2024</v>
      </c>
      <c r="H1" s="13"/>
      <c r="I1" s="24" t="s">
        <v>1</v>
      </c>
      <c r="J1" s="25"/>
      <c r="K1" s="14">
        <v>5</v>
      </c>
      <c r="L1" s="13"/>
      <c r="M1" s="13"/>
      <c r="N1" s="15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</row>
    <row r="2" spans="1:35" ht="31.8" customHeight="1" x14ac:dyDescent="0.3">
      <c r="A2" s="13"/>
      <c r="B2" s="13"/>
      <c r="C2" s="13"/>
      <c r="D2" s="13"/>
      <c r="E2" s="22" t="str">
        <f>"第"&amp;ROUNDUP((INT((WEEKDAY(DATE(YEAR(E3),MONTH(E3),1),2)-1)+DAY(E3))/7),0)&amp;"週"</f>
        <v>第1週</v>
      </c>
      <c r="F2" s="22" t="str">
        <f t="shared" ref="F2:AI2" si="0">"第"&amp;ROUNDUP((INT((WEEKDAY(DATE(YEAR(F3),MONTH(F3),1),2)-1)+DAY(F3))/7),0)&amp;"週"</f>
        <v>第1週</v>
      </c>
      <c r="G2" s="22" t="str">
        <f t="shared" si="0"/>
        <v>第1週</v>
      </c>
      <c r="H2" s="22" t="str">
        <f t="shared" si="0"/>
        <v>第1週</v>
      </c>
      <c r="I2" s="22" t="str">
        <f t="shared" si="0"/>
        <v>第1週</v>
      </c>
      <c r="J2" s="22" t="str">
        <f t="shared" si="0"/>
        <v>第2週</v>
      </c>
      <c r="K2" s="22" t="str">
        <f t="shared" si="0"/>
        <v>第2週</v>
      </c>
      <c r="L2" s="22" t="str">
        <f t="shared" si="0"/>
        <v>第2週</v>
      </c>
      <c r="M2" s="22" t="str">
        <f t="shared" si="0"/>
        <v>第2週</v>
      </c>
      <c r="N2" s="22" t="str">
        <f t="shared" si="0"/>
        <v>第2週</v>
      </c>
      <c r="O2" s="22" t="str">
        <f t="shared" si="0"/>
        <v>第2週</v>
      </c>
      <c r="P2" s="22" t="str">
        <f t="shared" si="0"/>
        <v>第2週</v>
      </c>
      <c r="Q2" s="22" t="str">
        <f t="shared" si="0"/>
        <v>第3週</v>
      </c>
      <c r="R2" s="22" t="str">
        <f t="shared" si="0"/>
        <v>第3週</v>
      </c>
      <c r="S2" s="22" t="str">
        <f t="shared" si="0"/>
        <v>第3週</v>
      </c>
      <c r="T2" s="22" t="str">
        <f t="shared" si="0"/>
        <v>第3週</v>
      </c>
      <c r="U2" s="22" t="str">
        <f t="shared" si="0"/>
        <v>第3週</v>
      </c>
      <c r="V2" s="22" t="str">
        <f t="shared" si="0"/>
        <v>第3週</v>
      </c>
      <c r="W2" s="22" t="str">
        <f t="shared" si="0"/>
        <v>第3週</v>
      </c>
      <c r="X2" s="22" t="str">
        <f t="shared" si="0"/>
        <v>第4週</v>
      </c>
      <c r="Y2" s="22" t="str">
        <f t="shared" si="0"/>
        <v>第4週</v>
      </c>
      <c r="Z2" s="22" t="str">
        <f t="shared" si="0"/>
        <v>第4週</v>
      </c>
      <c r="AA2" s="22" t="str">
        <f t="shared" si="0"/>
        <v>第4週</v>
      </c>
      <c r="AB2" s="22" t="str">
        <f t="shared" si="0"/>
        <v>第4週</v>
      </c>
      <c r="AC2" s="22" t="str">
        <f t="shared" si="0"/>
        <v>第4週</v>
      </c>
      <c r="AD2" s="22" t="str">
        <f t="shared" si="0"/>
        <v>第4週</v>
      </c>
      <c r="AE2" s="22" t="str">
        <f t="shared" si="0"/>
        <v>第5週</v>
      </c>
      <c r="AF2" s="22" t="str">
        <f t="shared" si="0"/>
        <v>第5週</v>
      </c>
      <c r="AG2" s="22" t="str">
        <f t="shared" si="0"/>
        <v>第5週</v>
      </c>
      <c r="AH2" s="22" t="str">
        <f t="shared" si="0"/>
        <v>第5週</v>
      </c>
      <c r="AI2" s="22" t="str">
        <f t="shared" si="0"/>
        <v>第5週</v>
      </c>
    </row>
    <row r="3" spans="1:35" x14ac:dyDescent="0.3">
      <c r="A3" s="1" t="s">
        <v>2</v>
      </c>
      <c r="B3" s="1" t="s">
        <v>3</v>
      </c>
      <c r="C3" s="1" t="s">
        <v>4</v>
      </c>
      <c r="D3" s="17" t="s">
        <v>5</v>
      </c>
      <c r="E3" s="23">
        <f>DATE(G1,K1,1)</f>
        <v>45413</v>
      </c>
      <c r="F3" s="23">
        <f>IFERROR(IF(MONTH(E3+1)=$K$1,E3+1,""),"")</f>
        <v>45414</v>
      </c>
      <c r="G3" s="23">
        <f t="shared" ref="G3:AI3" si="1">IFERROR(IF(MONTH(F3+1)=$K$1,F3+1,""),"")</f>
        <v>45415</v>
      </c>
      <c r="H3" s="23">
        <f t="shared" si="1"/>
        <v>45416</v>
      </c>
      <c r="I3" s="23">
        <f t="shared" si="1"/>
        <v>45417</v>
      </c>
      <c r="J3" s="23">
        <f t="shared" si="1"/>
        <v>45418</v>
      </c>
      <c r="K3" s="23">
        <f t="shared" si="1"/>
        <v>45419</v>
      </c>
      <c r="L3" s="23">
        <f t="shared" si="1"/>
        <v>45420</v>
      </c>
      <c r="M3" s="23">
        <f t="shared" si="1"/>
        <v>45421</v>
      </c>
      <c r="N3" s="23">
        <f t="shared" si="1"/>
        <v>45422</v>
      </c>
      <c r="O3" s="23">
        <f t="shared" si="1"/>
        <v>45423</v>
      </c>
      <c r="P3" s="23">
        <f t="shared" si="1"/>
        <v>45424</v>
      </c>
      <c r="Q3" s="23">
        <f t="shared" si="1"/>
        <v>45425</v>
      </c>
      <c r="R3" s="23">
        <f t="shared" si="1"/>
        <v>45426</v>
      </c>
      <c r="S3" s="23">
        <f t="shared" si="1"/>
        <v>45427</v>
      </c>
      <c r="T3" s="23">
        <f t="shared" si="1"/>
        <v>45428</v>
      </c>
      <c r="U3" s="23">
        <f t="shared" si="1"/>
        <v>45429</v>
      </c>
      <c r="V3" s="23">
        <f t="shared" si="1"/>
        <v>45430</v>
      </c>
      <c r="W3" s="23">
        <f t="shared" si="1"/>
        <v>45431</v>
      </c>
      <c r="X3" s="23">
        <f t="shared" si="1"/>
        <v>45432</v>
      </c>
      <c r="Y3" s="23">
        <f t="shared" si="1"/>
        <v>45433</v>
      </c>
      <c r="Z3" s="23">
        <f t="shared" si="1"/>
        <v>45434</v>
      </c>
      <c r="AA3" s="23">
        <f t="shared" si="1"/>
        <v>45435</v>
      </c>
      <c r="AB3" s="23">
        <f t="shared" si="1"/>
        <v>45436</v>
      </c>
      <c r="AC3" s="23">
        <f t="shared" si="1"/>
        <v>45437</v>
      </c>
      <c r="AD3" s="23">
        <f t="shared" si="1"/>
        <v>45438</v>
      </c>
      <c r="AE3" s="23">
        <f t="shared" si="1"/>
        <v>45439</v>
      </c>
      <c r="AF3" s="23">
        <f t="shared" si="1"/>
        <v>45440</v>
      </c>
      <c r="AG3" s="23">
        <f t="shared" si="1"/>
        <v>45441</v>
      </c>
      <c r="AH3" s="23">
        <f t="shared" si="1"/>
        <v>45442</v>
      </c>
      <c r="AI3" s="23">
        <f t="shared" si="1"/>
        <v>45443</v>
      </c>
    </row>
    <row r="4" spans="1:35" x14ac:dyDescent="0.3">
      <c r="A4" s="2" t="str">
        <f>IF(IT名單!$A2="","",IT名單!$A2)</f>
        <v>資訊中心</v>
      </c>
      <c r="B4" s="2" t="str">
        <f>IF(IT名單!$B2="","",IT名單!$B2)</f>
        <v>資訊中心</v>
      </c>
      <c r="C4" s="16" t="str">
        <f>IF(IT名單!$C2="","",IT名單!$C2)</f>
        <v>IEC091264</v>
      </c>
      <c r="D4" s="18" t="str">
        <f>IF(IT名單!$D2="","",IT名單!$D2)</f>
        <v>黃英哲</v>
      </c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</row>
    <row r="5" spans="1:35" x14ac:dyDescent="0.3">
      <c r="A5" s="2" t="str">
        <f>IF(IT名單!$A3="","",IT名單!$A3)</f>
        <v>資訊中心</v>
      </c>
      <c r="B5" s="2" t="str">
        <f>IF(IT名單!$B3="","",IT名單!$B3)</f>
        <v>資訊中心</v>
      </c>
      <c r="C5" s="16" t="str">
        <f>IF(IT名單!$C3="","",IT名單!$C3)</f>
        <v>IEC820303</v>
      </c>
      <c r="D5" s="18" t="str">
        <f>IF(IT名單!$D3="","",IT名單!$D3)</f>
        <v>李明芬</v>
      </c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</row>
    <row r="6" spans="1:35" x14ac:dyDescent="0.3">
      <c r="A6" s="2" t="str">
        <f>IF(IT名單!$A4="","",IT名單!$A4)</f>
        <v>資訊中心</v>
      </c>
      <c r="B6" s="2" t="str">
        <f>IF(IT名單!$B4="","",IT名單!$B4)</f>
        <v>資訊中心</v>
      </c>
      <c r="C6" s="16" t="str">
        <f>IF(IT名單!$C4="","",IT名單!$C4)</f>
        <v>IEC010027</v>
      </c>
      <c r="D6" s="18" t="str">
        <f>IF(IT名單!$D4="","",IT名單!$D4)</f>
        <v>何佳娟</v>
      </c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</row>
    <row r="7" spans="1:35" x14ac:dyDescent="0.3">
      <c r="A7" s="2" t="str">
        <f>IF(IT名單!$A5="","",IT名單!$A5)</f>
        <v>資訊技術處</v>
      </c>
      <c r="B7" s="2" t="str">
        <f>IF(IT名單!$B5="","",IT名單!$B5)</f>
        <v>資訊技術處</v>
      </c>
      <c r="C7" s="16" t="str">
        <f>IF(IT名單!$C5="","",IT名單!$C5)</f>
        <v>IEC851904</v>
      </c>
      <c r="D7" s="18" t="str">
        <f>IF(IT名單!$D5="","",IT名單!$D5)</f>
        <v>謝明曉</v>
      </c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</row>
    <row r="8" spans="1:35" x14ac:dyDescent="0.3">
      <c r="A8" s="2" t="str">
        <f>IF(IT名單!$A6="","",IT名單!$A6)</f>
        <v>個人電腦資訊處</v>
      </c>
      <c r="B8" s="2" t="str">
        <f>IF(IT名單!$B6="","",IT名單!$B6)</f>
        <v>個人電腦資訊處</v>
      </c>
      <c r="C8" s="16" t="str">
        <f>IF(IT名單!$C6="","",IT名單!$C6)</f>
        <v>IEC890330</v>
      </c>
      <c r="D8" s="18" t="str">
        <f>IF(IT名單!$D6="","",IT名單!$D6)</f>
        <v>杜俊賢</v>
      </c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</row>
    <row r="9" spans="1:35" x14ac:dyDescent="0.3">
      <c r="A9" s="2" t="str">
        <f>IF(IT名單!$A7="","",IT名單!$A7)</f>
        <v>個人電腦資訊處</v>
      </c>
      <c r="B9" s="2" t="str">
        <f>IF(IT名單!$B7="","",IT名單!$B7)</f>
        <v>個人電腦資訊處</v>
      </c>
      <c r="C9" s="16" t="str">
        <f>IF(IT名單!$C7="","",IT名單!$C7)</f>
        <v>IEC870232</v>
      </c>
      <c r="D9" s="18" t="str">
        <f>IF(IT名單!$D7="","",IT名單!$D7)</f>
        <v>林瑞益</v>
      </c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</row>
    <row r="10" spans="1:35" x14ac:dyDescent="0.3">
      <c r="A10" s="2" t="str">
        <f>IF(IT名單!$A8="","",IT名單!$A8)</f>
        <v>工程系統開發部</v>
      </c>
      <c r="B10" s="2" t="str">
        <f>IF(IT名單!$B8="","",IT名單!$B8)</f>
        <v>工程系統開發部</v>
      </c>
      <c r="C10" s="16" t="str">
        <f>IF(IT名單!$C8="","",IT名單!$C8)</f>
        <v>IEC000152</v>
      </c>
      <c r="D10" s="18" t="str">
        <f>IF(IT名單!$D8="","",IT名單!$D8)</f>
        <v>楊祖豪</v>
      </c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</row>
    <row r="11" spans="1:35" x14ac:dyDescent="0.3">
      <c r="A11" s="2" t="str">
        <f>IF(IT名單!$A9="","",IT名單!$A9)</f>
        <v>工程系統開發部</v>
      </c>
      <c r="B11" s="2" t="str">
        <f>IF(IT名單!$B9="","",IT名單!$B9)</f>
        <v>工程系統開發部</v>
      </c>
      <c r="C11" s="16" t="str">
        <f>IF(IT名單!$C9="","",IT名單!$C9)</f>
        <v>IEC070380</v>
      </c>
      <c r="D11" s="18" t="str">
        <f>IF(IT名單!$D9="","",IT名單!$D9)</f>
        <v>張哲瑜</v>
      </c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</row>
    <row r="12" spans="1:35" x14ac:dyDescent="0.3">
      <c r="A12" s="2" t="str">
        <f>IF(IT名單!$A10="","",IT名單!$A10)</f>
        <v>工程系統開發部</v>
      </c>
      <c r="B12" s="2" t="str">
        <f>IF(IT名單!$B10="","",IT名單!$B10)</f>
        <v>工程系統開發部</v>
      </c>
      <c r="C12" s="16" t="str">
        <f>IF(IT名單!$C10="","",IT名單!$C10)</f>
        <v>IEC070545</v>
      </c>
      <c r="D12" s="18" t="str">
        <f>IF(IT名單!$D10="","",IT名單!$D10)</f>
        <v>黃廷耀</v>
      </c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</row>
    <row r="13" spans="1:35" x14ac:dyDescent="0.3">
      <c r="A13" s="2" t="str">
        <f>IF(IT名單!$A11="","",IT名單!$A11)</f>
        <v>工程系統開發部</v>
      </c>
      <c r="B13" s="2" t="str">
        <f>IF(IT名單!$B11="","",IT名單!$B11)</f>
        <v>工程系統開發部</v>
      </c>
      <c r="C13" s="16" t="str">
        <f>IF(IT名單!$C11="","",IT名單!$C11)</f>
        <v>IEC070581</v>
      </c>
      <c r="D13" s="18" t="str">
        <f>IF(IT名單!$D11="","",IT名單!$D11)</f>
        <v>楊雅萍</v>
      </c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</row>
    <row r="14" spans="1:35" x14ac:dyDescent="0.3">
      <c r="A14" s="2" t="str">
        <f>IF(IT名單!$A12="","",IT名單!$A12)</f>
        <v>工程系統開發部</v>
      </c>
      <c r="B14" s="2" t="str">
        <f>IF(IT名單!$B12="","",IT名單!$B12)</f>
        <v>工程系統開發部</v>
      </c>
      <c r="C14" s="16" t="str">
        <f>IF(IT名單!$C12="","",IT名單!$C12)</f>
        <v>IEC080514</v>
      </c>
      <c r="D14" s="18" t="str">
        <f>IF(IT名單!$D12="","",IT名單!$D12)</f>
        <v>詹世毓</v>
      </c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</row>
    <row r="15" spans="1:35" x14ac:dyDescent="0.3">
      <c r="A15" s="2" t="str">
        <f>IF(IT名單!$A13="","",IT名單!$A13)</f>
        <v>工程系統開發部</v>
      </c>
      <c r="B15" s="2" t="str">
        <f>IF(IT名單!$B13="","",IT名單!$B13)</f>
        <v>工程系統開發部</v>
      </c>
      <c r="C15" s="16" t="str">
        <f>IF(IT名單!$C13="","",IT名單!$C13)</f>
        <v>IEC110852</v>
      </c>
      <c r="D15" s="18" t="str">
        <f>IF(IT名單!$D13="","",IT名單!$D13)</f>
        <v>吳俊穎</v>
      </c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</row>
    <row r="16" spans="1:35" x14ac:dyDescent="0.3">
      <c r="A16" s="2" t="str">
        <f>IF(IT名單!$A14="","",IT名單!$A14)</f>
        <v>工程系統開發部</v>
      </c>
      <c r="B16" s="2" t="str">
        <f>IF(IT名單!$B14="","",IT名單!$B14)</f>
        <v>工程系統開發部</v>
      </c>
      <c r="C16" s="16" t="str">
        <f>IF(IT名單!$C14="","",IT名單!$C14)</f>
        <v>IEC830188</v>
      </c>
      <c r="D16" s="18" t="str">
        <f>IF(IT名單!$D14="","",IT名單!$D14)</f>
        <v>楊千儀</v>
      </c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</row>
    <row r="17" spans="1:35" x14ac:dyDescent="0.3">
      <c r="A17" s="2" t="str">
        <f>IF(IT名單!$A15="","",IT名單!$A15)</f>
        <v>工程系統開發部</v>
      </c>
      <c r="B17" s="2" t="str">
        <f>IF(IT名單!$B15="","",IT名單!$B15)</f>
        <v>工程系統開發部</v>
      </c>
      <c r="C17" s="16" t="str">
        <f>IF(IT名單!$C15="","",IT名單!$C15)</f>
        <v>IEC841595</v>
      </c>
      <c r="D17" s="18" t="str">
        <f>IF(IT名單!$D15="","",IT名單!$D15)</f>
        <v>朱桂慧</v>
      </c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</row>
    <row r="18" spans="1:35" x14ac:dyDescent="0.3">
      <c r="A18" s="2" t="str">
        <f>IF(IT名單!$A16="","",IT名單!$A16)</f>
        <v>工程系統開發部</v>
      </c>
      <c r="B18" s="2" t="str">
        <f>IF(IT名單!$B16="","",IT名單!$B16)</f>
        <v>工程系統開發部</v>
      </c>
      <c r="C18" s="16" t="str">
        <f>IF(IT名單!$C16="","",IT名單!$C16)</f>
        <v>IEC890118</v>
      </c>
      <c r="D18" s="18" t="str">
        <f>IF(IT名單!$D16="","",IT名單!$D16)</f>
        <v>陳佳蘭</v>
      </c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</row>
    <row r="19" spans="1:35" x14ac:dyDescent="0.3">
      <c r="A19" s="2" t="str">
        <f>IF(IT名單!$A17="","",IT名單!$A17)</f>
        <v>工程系統開發部</v>
      </c>
      <c r="B19" s="2" t="str">
        <f>IF(IT名單!$B17="","",IT名單!$B17)</f>
        <v>工程系統開發部</v>
      </c>
      <c r="C19" s="16" t="str">
        <f>IF(IT名單!$C17="","",IT名單!$C17)</f>
        <v>IEC930076</v>
      </c>
      <c r="D19" s="18" t="str">
        <f>IF(IT名單!$D17="","",IT名單!$D17)</f>
        <v>林泰源</v>
      </c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</row>
    <row r="20" spans="1:35" x14ac:dyDescent="0.3">
      <c r="A20" s="2" t="str">
        <f>IF(IT名單!$A18="","",IT名單!$A18)</f>
        <v>工程系統開發部</v>
      </c>
      <c r="B20" s="2" t="str">
        <f>IF(IT名單!$B18="","",IT名單!$B18)</f>
        <v>工程系統開發部</v>
      </c>
      <c r="C20" s="16" t="str">
        <f>IF(IT名單!$C18="","",IT名單!$C18)</f>
        <v>IEC950849</v>
      </c>
      <c r="D20" s="18" t="str">
        <f>IF(IT名單!$D18="","",IT名單!$D18)</f>
        <v>張玟儀</v>
      </c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</row>
    <row r="21" spans="1:35" x14ac:dyDescent="0.3">
      <c r="A21" s="2" t="str">
        <f>IF(IT名單!$A19="","",IT名單!$A19)</f>
        <v>製造系統部</v>
      </c>
      <c r="B21" s="2" t="str">
        <f>IF(IT名單!$B19="","",IT名單!$B19)</f>
        <v>製造系統部</v>
      </c>
      <c r="C21" s="16" t="str">
        <f>IF(IT名單!$C19="","",IT名單!$C19)</f>
        <v>IEC990282</v>
      </c>
      <c r="D21" s="18" t="str">
        <f>IF(IT名單!$D19="","",IT名單!$D19)</f>
        <v>李坤樹</v>
      </c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</row>
    <row r="22" spans="1:35" x14ac:dyDescent="0.3">
      <c r="A22" s="2" t="str">
        <f>IF(IT名單!$A20="","",IT名單!$A20)</f>
        <v>製造系統部</v>
      </c>
      <c r="B22" s="2" t="str">
        <f>IF(IT名單!$B20="","",IT名單!$B20)</f>
        <v>製造系統部</v>
      </c>
      <c r="C22" s="16" t="str">
        <f>IF(IT名單!$C20="","",IT名單!$C20)</f>
        <v>IEC020164</v>
      </c>
      <c r="D22" s="18" t="str">
        <f>IF(IT名單!$D20="","",IT名單!$D20)</f>
        <v>陳璟賢</v>
      </c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</row>
    <row r="23" spans="1:35" x14ac:dyDescent="0.3">
      <c r="A23" s="2" t="str">
        <f>IF(IT名單!$A21="","",IT名單!$A21)</f>
        <v>製造系統部</v>
      </c>
      <c r="B23" s="2" t="str">
        <f>IF(IT名單!$B21="","",IT名單!$B21)</f>
        <v>製造系統部</v>
      </c>
      <c r="C23" s="16" t="str">
        <f>IF(IT名單!$C21="","",IT名單!$C21)</f>
        <v>IEC060397</v>
      </c>
      <c r="D23" s="18" t="str">
        <f>IF(IT名單!$D21="","",IT名單!$D21)</f>
        <v>蘇哲弘</v>
      </c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</row>
    <row r="24" spans="1:35" x14ac:dyDescent="0.3">
      <c r="A24" s="2" t="str">
        <f>IF(IT名單!$A22="","",IT名單!$A22)</f>
        <v>製造系統部</v>
      </c>
      <c r="B24" s="2" t="str">
        <f>IF(IT名單!$B22="","",IT名單!$B22)</f>
        <v>製造系統部</v>
      </c>
      <c r="C24" s="16" t="str">
        <f>IF(IT名單!$C22="","",IT名單!$C22)</f>
        <v>IEC070511</v>
      </c>
      <c r="D24" s="18" t="str">
        <f>IF(IT名單!$D22="","",IT名單!$D22)</f>
        <v>姚乃文</v>
      </c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</row>
    <row r="25" spans="1:35" x14ac:dyDescent="0.3">
      <c r="A25" s="2" t="str">
        <f>IF(IT名單!$A23="","",IT名單!$A23)</f>
        <v>製造系統部</v>
      </c>
      <c r="B25" s="2" t="str">
        <f>IF(IT名單!$B23="","",IT名單!$B23)</f>
        <v>製造系統部</v>
      </c>
      <c r="C25" s="16" t="str">
        <f>IF(IT名單!$C23="","",IT名單!$C23)</f>
        <v>IEC090836</v>
      </c>
      <c r="D25" s="18" t="str">
        <f>IF(IT名單!$D23="","",IT名單!$D23)</f>
        <v>郭依欣</v>
      </c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</row>
    <row r="26" spans="1:35" x14ac:dyDescent="0.3">
      <c r="A26" s="2" t="str">
        <f>IF(IT名單!$A24="","",IT名單!$A24)</f>
        <v>製造系統部</v>
      </c>
      <c r="B26" s="2" t="str">
        <f>IF(IT名單!$B24="","",IT名單!$B24)</f>
        <v>製造系統部</v>
      </c>
      <c r="C26" s="16" t="str">
        <f>IF(IT名單!$C24="","",IT名單!$C24)</f>
        <v>IEC110876</v>
      </c>
      <c r="D26" s="18" t="str">
        <f>IF(IT名單!$D24="","",IT名單!$D24)</f>
        <v>余書銘</v>
      </c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</row>
    <row r="27" spans="1:35" x14ac:dyDescent="0.3">
      <c r="A27" s="2" t="str">
        <f>IF(IT名單!$A25="","",IT名單!$A25)</f>
        <v>製造系統部</v>
      </c>
      <c r="B27" s="2" t="str">
        <f>IF(IT名單!$B25="","",IT名單!$B25)</f>
        <v>製造系統部</v>
      </c>
      <c r="C27" s="16" t="str">
        <f>IF(IT名單!$C25="","",IT名單!$C25)</f>
        <v>IEC960919</v>
      </c>
      <c r="D27" s="18" t="str">
        <f>IF(IT名單!$D25="","",IT名單!$D25)</f>
        <v>溫麗華</v>
      </c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</row>
    <row r="28" spans="1:35" x14ac:dyDescent="0.3">
      <c r="A28" s="2" t="str">
        <f>IF(IT名單!$A26="","",IT名單!$A26)</f>
        <v>製造系統部</v>
      </c>
      <c r="B28" s="2" t="str">
        <f>IF(IT名單!$B26="","",IT名單!$B26)</f>
        <v>製造系統部</v>
      </c>
      <c r="C28" s="16" t="str">
        <f>IF(IT名單!$C26="","",IT名單!$C26)</f>
        <v>IEC960923</v>
      </c>
      <c r="D28" s="18" t="str">
        <f>IF(IT名單!$D26="","",IT名單!$D26)</f>
        <v>陳素貞</v>
      </c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</row>
    <row r="29" spans="1:35" x14ac:dyDescent="0.3">
      <c r="A29" s="2" t="str">
        <f>IF(IT名單!$A27="","",IT名單!$A27)</f>
        <v>製造系統部</v>
      </c>
      <c r="B29" s="2" t="str">
        <f>IF(IT名單!$B27="","",IT名單!$B27)</f>
        <v>製造系統部</v>
      </c>
      <c r="C29" s="16" t="str">
        <f>IF(IT名單!$C27="","",IT名單!$C27)</f>
        <v>IEC960924</v>
      </c>
      <c r="D29" s="18" t="str">
        <f>IF(IT名單!$D27="","",IT名單!$D27)</f>
        <v>施雲騰</v>
      </c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</row>
    <row r="30" spans="1:35" x14ac:dyDescent="0.3">
      <c r="A30" s="2" t="str">
        <f>IF(IT名單!$A28="","",IT名單!$A28)</f>
        <v>製造系統部</v>
      </c>
      <c r="B30" s="2" t="str">
        <f>IF(IT名單!$B28="","",IT名單!$B28)</f>
        <v>製造系統部</v>
      </c>
      <c r="C30" s="16" t="str">
        <f>IF(IT名單!$C28="","",IT名單!$C28)</f>
        <v>IEC010273</v>
      </c>
      <c r="D30" s="18" t="str">
        <f>IF(IT名單!$D28="","",IT名單!$D28)</f>
        <v>林凱翊</v>
      </c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</row>
    <row r="31" spans="1:35" x14ac:dyDescent="0.3">
      <c r="A31" s="2" t="str">
        <f>IF(IT名單!$A29="","",IT名單!$A29)</f>
        <v>供應鏈系統規劃部</v>
      </c>
      <c r="B31" s="2" t="str">
        <f>IF(IT名單!$B29="","",IT名單!$B29)</f>
        <v>供應鏈系統規劃部</v>
      </c>
      <c r="C31" s="16" t="str">
        <f>IF(IT名單!$C29="","",IT名單!$C29)</f>
        <v>IEC050323</v>
      </c>
      <c r="D31" s="18" t="str">
        <f>IF(IT名單!$D29="","",IT名單!$D29)</f>
        <v>薛喨</v>
      </c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</row>
    <row r="32" spans="1:35" x14ac:dyDescent="0.3">
      <c r="A32" s="2" t="str">
        <f>IF(IT名單!$A30="","",IT名單!$A30)</f>
        <v>供應鏈系統規劃部</v>
      </c>
      <c r="B32" s="2" t="str">
        <f>IF(IT名單!$B30="","",IT名單!$B30)</f>
        <v>供應鏈系統規劃部</v>
      </c>
      <c r="C32" s="16" t="str">
        <f>IF(IT名單!$C30="","",IT名單!$C30)</f>
        <v>IEC070274</v>
      </c>
      <c r="D32" s="18" t="str">
        <f>IF(IT名單!$D30="","",IT名單!$D30)</f>
        <v>廖奕醒</v>
      </c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</row>
    <row r="33" spans="1:35" x14ac:dyDescent="0.3">
      <c r="A33" s="2" t="str">
        <f>IF(IT名單!$A31="","",IT名單!$A31)</f>
        <v>供應鏈系統規劃部</v>
      </c>
      <c r="B33" s="2" t="str">
        <f>IF(IT名單!$B31="","",IT名單!$B31)</f>
        <v>供應鏈系統規劃部</v>
      </c>
      <c r="C33" s="16" t="str">
        <f>IF(IT名單!$C31="","",IT名單!$C31)</f>
        <v>IEC100237</v>
      </c>
      <c r="D33" s="18" t="str">
        <f>IF(IT名單!$D31="","",IT名單!$D31)</f>
        <v>惠子豪</v>
      </c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</row>
    <row r="34" spans="1:35" x14ac:dyDescent="0.3">
      <c r="A34" s="2" t="str">
        <f>IF(IT名單!$A32="","",IT名單!$A32)</f>
        <v>供應鏈系統規劃部</v>
      </c>
      <c r="B34" s="2" t="str">
        <f>IF(IT名單!$B32="","",IT名單!$B32)</f>
        <v>供應鏈系統規劃部</v>
      </c>
      <c r="C34" s="16" t="str">
        <f>IF(IT名單!$C32="","",IT名單!$C32)</f>
        <v>IEC120578</v>
      </c>
      <c r="D34" s="18" t="str">
        <f>IF(IT名單!$D32="","",IT名單!$D32)</f>
        <v>丁唯馨</v>
      </c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</row>
    <row r="35" spans="1:35" x14ac:dyDescent="0.3">
      <c r="A35" s="2" t="str">
        <f>IF(IT名單!$A33="","",IT名單!$A33)</f>
        <v>供應鏈系統規劃部</v>
      </c>
      <c r="B35" s="2" t="str">
        <f>IF(IT名單!$B33="","",IT名單!$B33)</f>
        <v>供應鏈系統規劃部</v>
      </c>
      <c r="C35" s="16" t="str">
        <f>IF(IT名單!$C33="","",IT名單!$C33)</f>
        <v>IEC840098</v>
      </c>
      <c r="D35" s="18" t="str">
        <f>IF(IT名單!$D33="","",IT名單!$D33)</f>
        <v>儲德梅</v>
      </c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</row>
    <row r="36" spans="1:35" x14ac:dyDescent="0.3">
      <c r="A36" s="2" t="str">
        <f>IF(IT名單!$A34="","",IT名單!$A34)</f>
        <v>供應鏈系統規劃部</v>
      </c>
      <c r="B36" s="2" t="str">
        <f>IF(IT名單!$B34="","",IT名單!$B34)</f>
        <v>供應鏈系統規劃部</v>
      </c>
      <c r="C36" s="16" t="str">
        <f>IF(IT名單!$C34="","",IT名單!$C34)</f>
        <v>IEC840506</v>
      </c>
      <c r="D36" s="18" t="str">
        <f>IF(IT名單!$D34="","",IT名單!$D34)</f>
        <v>李仁義</v>
      </c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</row>
    <row r="37" spans="1:35" x14ac:dyDescent="0.3">
      <c r="A37" s="2" t="str">
        <f>IF(IT名單!$A35="","",IT名單!$A35)</f>
        <v>供應鏈系統規劃部</v>
      </c>
      <c r="B37" s="2" t="str">
        <f>IF(IT名單!$B35="","",IT名單!$B35)</f>
        <v>供應鏈系統規劃部</v>
      </c>
      <c r="C37" s="16" t="str">
        <f>IF(IT名單!$C35="","",IT名單!$C35)</f>
        <v>IEC850996</v>
      </c>
      <c r="D37" s="18" t="str">
        <f>IF(IT名單!$D35="","",IT名單!$D35)</f>
        <v>洪秀瑜</v>
      </c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</row>
    <row r="38" spans="1:35" x14ac:dyDescent="0.3">
      <c r="A38" s="2" t="str">
        <f>IF(IT名單!$A36="","",IT名單!$A36)</f>
        <v>供應鏈系統規劃部</v>
      </c>
      <c r="B38" s="2" t="str">
        <f>IF(IT名單!$B36="","",IT名單!$B36)</f>
        <v>供應鏈系統規劃部</v>
      </c>
      <c r="C38" s="16" t="str">
        <f>IF(IT名單!$C36="","",IT名單!$C36)</f>
        <v>IEC852130</v>
      </c>
      <c r="D38" s="18" t="str">
        <f>IF(IT名單!$D36="","",IT名單!$D36)</f>
        <v>楊承智</v>
      </c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</row>
    <row r="39" spans="1:35" x14ac:dyDescent="0.3">
      <c r="A39" s="2" t="str">
        <f>IF(IT名單!$A37="","",IT名單!$A37)</f>
        <v>供應鏈系統規劃部</v>
      </c>
      <c r="B39" s="2" t="str">
        <f>IF(IT名單!$B37="","",IT名單!$B37)</f>
        <v>供應鏈系統規劃部</v>
      </c>
      <c r="C39" s="16" t="str">
        <f>IF(IT名單!$C37="","",IT名單!$C37)</f>
        <v>IEC891049</v>
      </c>
      <c r="D39" s="18" t="str">
        <f>IF(IT名單!$D37="","",IT名單!$D37)</f>
        <v>黃志鴻</v>
      </c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</row>
    <row r="40" spans="1:35" x14ac:dyDescent="0.3">
      <c r="A40" s="2" t="str">
        <f>IF(IT名單!$A38="","",IT名單!$A38)</f>
        <v>供應鏈系統規劃部</v>
      </c>
      <c r="B40" s="2" t="str">
        <f>IF(IT名單!$B38="","",IT名單!$B38)</f>
        <v>供應鏈系統規劃部</v>
      </c>
      <c r="C40" s="16" t="str">
        <f>IF(IT名單!$C38="","",IT名單!$C38)</f>
        <v>IEC940480</v>
      </c>
      <c r="D40" s="18" t="str">
        <f>IF(IT名單!$D38="","",IT名單!$D38)</f>
        <v>高智原</v>
      </c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</row>
    <row r="41" spans="1:35" x14ac:dyDescent="0.3">
      <c r="A41" s="2" t="str">
        <f>IF(IT名單!$A39="","",IT名單!$A39)</f>
        <v>企業資訊部</v>
      </c>
      <c r="B41" s="2" t="str">
        <f>IF(IT名單!$B39="","",IT名單!$B39)</f>
        <v>企業資訊部</v>
      </c>
      <c r="C41" s="16" t="str">
        <f>IF(IT名單!$C39="","",IT名單!$C39)</f>
        <v>IEC891501</v>
      </c>
      <c r="D41" s="18" t="str">
        <f>IF(IT名單!$D39="","",IT名單!$D39)</f>
        <v>宋敏慈</v>
      </c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</row>
    <row r="42" spans="1:35" x14ac:dyDescent="0.3">
      <c r="A42" s="2" t="str">
        <f>IF(IT名單!$A40="","",IT名單!$A40)</f>
        <v>企業資訊部</v>
      </c>
      <c r="B42" s="2" t="str">
        <f>IF(IT名單!$B40="","",IT名單!$B40)</f>
        <v>企業資訊部</v>
      </c>
      <c r="C42" s="16" t="str">
        <f>IF(IT名單!$C40="","",IT名單!$C40)</f>
        <v>IEC020039</v>
      </c>
      <c r="D42" s="18" t="str">
        <f>IF(IT名單!$D40="","",IT名單!$D40)</f>
        <v>姜順瀚</v>
      </c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</row>
    <row r="43" spans="1:35" x14ac:dyDescent="0.3">
      <c r="A43" s="2" t="str">
        <f>IF(IT名單!$A41="","",IT名單!$A41)</f>
        <v>企業資訊部</v>
      </c>
      <c r="B43" s="2" t="str">
        <f>IF(IT名單!$B41="","",IT名單!$B41)</f>
        <v>企業資訊部</v>
      </c>
      <c r="C43" s="16" t="str">
        <f>IF(IT名單!$C41="","",IT名單!$C41)</f>
        <v>IEC120677</v>
      </c>
      <c r="D43" s="18" t="str">
        <f>IF(IT名單!$D41="","",IT名單!$D41)</f>
        <v>李澎桐</v>
      </c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</row>
    <row r="44" spans="1:35" x14ac:dyDescent="0.3">
      <c r="A44" s="2" t="str">
        <f>IF(IT名單!$A42="","",IT名單!$A42)</f>
        <v>企業資訊部</v>
      </c>
      <c r="B44" s="2" t="str">
        <f>IF(IT名單!$B42="","",IT名單!$B42)</f>
        <v>企業資訊部</v>
      </c>
      <c r="C44" s="16" t="str">
        <f>IF(IT名單!$C42="","",IT名單!$C42)</f>
        <v>IEC120698</v>
      </c>
      <c r="D44" s="18" t="str">
        <f>IF(IT名單!$D42="","",IT名單!$D42)</f>
        <v>蕭定翔</v>
      </c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</row>
    <row r="45" spans="1:35" x14ac:dyDescent="0.3">
      <c r="A45" s="2" t="str">
        <f>IF(IT名單!$A43="","",IT名單!$A43)</f>
        <v>企業資訊部</v>
      </c>
      <c r="B45" s="2" t="str">
        <f>IF(IT名單!$B43="","",IT名單!$B43)</f>
        <v>企業資訊部</v>
      </c>
      <c r="C45" s="16" t="str">
        <f>IF(IT名單!$C43="","",IT名單!$C43)</f>
        <v>IEC000337</v>
      </c>
      <c r="D45" s="18" t="str">
        <f>IF(IT名單!$D43="","",IT名單!$D43)</f>
        <v>黃心儀</v>
      </c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  <c r="AH45" s="19"/>
      <c r="AI45" s="19"/>
    </row>
    <row r="46" spans="1:35" x14ac:dyDescent="0.3">
      <c r="A46" s="2" t="str">
        <f>IF(IT名單!$A44="","",IT名單!$A44)</f>
        <v>企業資訊部</v>
      </c>
      <c r="B46" s="2" t="str">
        <f>IF(IT名單!$B44="","",IT名單!$B44)</f>
        <v>企業資訊部</v>
      </c>
      <c r="C46" s="16" t="str">
        <f>IF(IT名單!$C44="","",IT名單!$C44)</f>
        <v>IEC891652</v>
      </c>
      <c r="D46" s="18" t="str">
        <f>IF(IT名單!$D44="","",IT名單!$D44)</f>
        <v>吳海峰</v>
      </c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  <c r="AB46" s="19"/>
      <c r="AC46" s="19"/>
      <c r="AD46" s="19"/>
      <c r="AE46" s="19"/>
      <c r="AF46" s="19"/>
      <c r="AG46" s="19"/>
      <c r="AH46" s="19"/>
      <c r="AI46" s="19"/>
    </row>
    <row r="47" spans="1:35" x14ac:dyDescent="0.3">
      <c r="A47" s="2" t="str">
        <f>IF(IT名單!$A45="","",IT名單!$A45)</f>
        <v>企業資訊部</v>
      </c>
      <c r="B47" s="2" t="str">
        <f>IF(IT名單!$B45="","",IT名單!$B45)</f>
        <v>企業資訊部</v>
      </c>
      <c r="C47" s="16" t="str">
        <f>IF(IT名單!$C45="","",IT名單!$C45)</f>
        <v>IEC891794</v>
      </c>
      <c r="D47" s="18" t="str">
        <f>IF(IT名單!$D45="","",IT名單!$D45)</f>
        <v>洪榮俊</v>
      </c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19"/>
      <c r="AB47" s="19"/>
      <c r="AC47" s="19"/>
      <c r="AD47" s="19"/>
      <c r="AE47" s="19"/>
      <c r="AF47" s="19"/>
      <c r="AG47" s="19"/>
      <c r="AH47" s="19"/>
      <c r="AI47" s="19"/>
    </row>
    <row r="48" spans="1:35" x14ac:dyDescent="0.3">
      <c r="A48" s="2" t="str">
        <f>IF(IT名單!$A46="","",IT名單!$A46)</f>
        <v>企業資訊部</v>
      </c>
      <c r="B48" s="2" t="str">
        <f>IF(IT名單!$B46="","",IT名單!$B46)</f>
        <v>企業資訊部</v>
      </c>
      <c r="C48" s="16" t="str">
        <f>IF(IT名單!$C46="","",IT名單!$C46)</f>
        <v>IEC891804</v>
      </c>
      <c r="D48" s="18" t="str">
        <f>IF(IT名單!$D46="","",IT名單!$D46)</f>
        <v>吳冠儀</v>
      </c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9"/>
      <c r="AA48" s="19"/>
      <c r="AB48" s="19"/>
      <c r="AC48" s="19"/>
      <c r="AD48" s="19"/>
      <c r="AE48" s="19"/>
      <c r="AF48" s="19"/>
      <c r="AG48" s="19"/>
      <c r="AH48" s="19"/>
      <c r="AI48" s="19"/>
    </row>
    <row r="49" spans="1:35" x14ac:dyDescent="0.3">
      <c r="A49" s="2" t="str">
        <f>IF(IT名單!$A47="","",IT名單!$A47)</f>
        <v>企業資訊部</v>
      </c>
      <c r="B49" s="2" t="str">
        <f>IF(IT名單!$B47="","",IT名單!$B47)</f>
        <v>企業資訊部</v>
      </c>
      <c r="C49" s="16" t="str">
        <f>IF(IT名單!$C47="","",IT名單!$C47)</f>
        <v>IEC950497</v>
      </c>
      <c r="D49" s="18" t="str">
        <f>IF(IT名單!$D47="","",IT名單!$D47)</f>
        <v>莊薇潔</v>
      </c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  <c r="AB49" s="19"/>
      <c r="AC49" s="19"/>
      <c r="AD49" s="19"/>
      <c r="AE49" s="19"/>
      <c r="AF49" s="19"/>
      <c r="AG49" s="19"/>
      <c r="AH49" s="19"/>
      <c r="AI49" s="19"/>
    </row>
    <row r="50" spans="1:35" x14ac:dyDescent="0.3">
      <c r="A50" s="2" t="str">
        <f>IF(IT名單!$A48="","",IT名單!$A48)</f>
        <v>企業資訊部</v>
      </c>
      <c r="B50" s="2" t="str">
        <f>IF(IT名單!$B48="","",IT名單!$B48)</f>
        <v>企業資訊部</v>
      </c>
      <c r="C50" s="16" t="str">
        <f>IF(IT名單!$C48="","",IT名單!$C48)</f>
        <v>IEC950525</v>
      </c>
      <c r="D50" s="18" t="str">
        <f>IF(IT名單!$D48="","",IT名單!$D48)</f>
        <v>張文錦</v>
      </c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  <c r="AB50" s="19"/>
      <c r="AC50" s="19"/>
      <c r="AD50" s="19"/>
      <c r="AE50" s="19"/>
      <c r="AF50" s="19"/>
      <c r="AG50" s="19"/>
      <c r="AH50" s="19"/>
      <c r="AI50" s="19"/>
    </row>
    <row r="51" spans="1:35" x14ac:dyDescent="0.3">
      <c r="A51" s="2" t="str">
        <f>IF(IT名單!$A49="","",IT名單!$A49)</f>
        <v>企業資訊部</v>
      </c>
      <c r="B51" s="2" t="str">
        <f>IF(IT名單!$B49="","",IT名單!$B49)</f>
        <v>企業資訊部</v>
      </c>
      <c r="C51" s="16" t="str">
        <f>IF(IT名單!$C49="","",IT名單!$C49)</f>
        <v>IEC961345</v>
      </c>
      <c r="D51" s="18" t="str">
        <f>IF(IT名單!$D49="","",IT名單!$D49)</f>
        <v>王昭鑫</v>
      </c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</row>
    <row r="52" spans="1:35" x14ac:dyDescent="0.3">
      <c r="A52" s="2" t="str">
        <f>IF(IT名單!$A50="","",IT名單!$A50)</f>
        <v>工程資訊部</v>
      </c>
      <c r="B52" s="2" t="str">
        <f>IF(IT名單!$B50="","",IT名單!$B50)</f>
        <v>工程資訊部</v>
      </c>
      <c r="C52" s="16" t="str">
        <f>IF(IT名單!$C50="","",IT名單!$C50)</f>
        <v>IEC971020</v>
      </c>
      <c r="D52" s="18" t="str">
        <f>IF(IT名單!$D50="","",IT名單!$D50)</f>
        <v>謝志偉</v>
      </c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</row>
    <row r="53" spans="1:35" x14ac:dyDescent="0.3">
      <c r="A53" s="2" t="str">
        <f>IF(IT名單!$A51="","",IT名單!$A51)</f>
        <v>工程資訊部</v>
      </c>
      <c r="B53" s="2" t="str">
        <f>IF(IT名單!$B51="","",IT名單!$B51)</f>
        <v>工程資訊部</v>
      </c>
      <c r="C53" s="16" t="str">
        <f>IF(IT名單!$C51="","",IT名單!$C51)</f>
        <v>IEC120600</v>
      </c>
      <c r="D53" s="18" t="str">
        <f>IF(IT名單!$D51="","",IT名單!$D51)</f>
        <v>張皓翔</v>
      </c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</row>
    <row r="54" spans="1:35" x14ac:dyDescent="0.3">
      <c r="A54" s="2" t="str">
        <f>IF(IT名單!$A52="","",IT名單!$A52)</f>
        <v>工程資訊部</v>
      </c>
      <c r="B54" s="2" t="str">
        <f>IF(IT名單!$B52="","",IT名單!$B52)</f>
        <v>工程資訊部</v>
      </c>
      <c r="C54" s="16" t="str">
        <f>IF(IT名單!$C52="","",IT名單!$C52)</f>
        <v>IEC121177</v>
      </c>
      <c r="D54" s="18" t="str">
        <f>IF(IT名單!$D52="","",IT名單!$D52)</f>
        <v>謝上智</v>
      </c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</row>
    <row r="55" spans="1:35" x14ac:dyDescent="0.3">
      <c r="A55" s="2" t="str">
        <f>IF(IT名單!$A53="","",IT名單!$A53)</f>
        <v>工程資訊部</v>
      </c>
      <c r="B55" s="2" t="str">
        <f>IF(IT名單!$B53="","",IT名單!$B53)</f>
        <v>工程資訊部</v>
      </c>
      <c r="C55" s="16" t="str">
        <f>IF(IT名單!$C53="","",IT名單!$C53)</f>
        <v>IEC940614</v>
      </c>
      <c r="D55" s="18" t="str">
        <f>IF(IT名單!$D53="","",IT名單!$D53)</f>
        <v>翁珮瑩</v>
      </c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</row>
    <row r="56" spans="1:35" x14ac:dyDescent="0.3">
      <c r="A56" s="2" t="str">
        <f>IF(IT名單!$A54="","",IT名單!$A54)</f>
        <v>工程資訊部</v>
      </c>
      <c r="B56" s="2" t="str">
        <f>IF(IT名單!$B54="","",IT名單!$B54)</f>
        <v>工程資訊部</v>
      </c>
      <c r="C56" s="16" t="str">
        <f>IF(IT名單!$C54="","",IT名單!$C54)</f>
        <v>IEC950848</v>
      </c>
      <c r="D56" s="18" t="str">
        <f>IF(IT名單!$D54="","",IT名單!$D54)</f>
        <v>滿振呈</v>
      </c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</row>
    <row r="57" spans="1:35" x14ac:dyDescent="0.3">
      <c r="A57" s="2" t="str">
        <f>IF(IT名單!$A55="","",IT名單!$A55)</f>
        <v>工程資訊部</v>
      </c>
      <c r="B57" s="2" t="str">
        <f>IF(IT名單!$B55="","",IT名單!$B55)</f>
        <v>工程資訊部</v>
      </c>
      <c r="C57" s="16" t="str">
        <f>IF(IT名單!$C55="","",IT名單!$C55)</f>
        <v>IEC960920</v>
      </c>
      <c r="D57" s="18" t="str">
        <f>IF(IT名單!$D55="","",IT名單!$D55)</f>
        <v>林慶芳</v>
      </c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19"/>
      <c r="AA57" s="19"/>
      <c r="AB57" s="19"/>
      <c r="AC57" s="19"/>
      <c r="AD57" s="19"/>
      <c r="AE57" s="19"/>
      <c r="AF57" s="19"/>
      <c r="AG57" s="19"/>
      <c r="AH57" s="19"/>
      <c r="AI57" s="19"/>
    </row>
    <row r="58" spans="1:35" x14ac:dyDescent="0.3">
      <c r="A58" s="2" t="str">
        <f>IF(IT名單!$A56="","",IT名單!$A56)</f>
        <v>工程資訊部</v>
      </c>
      <c r="B58" s="2" t="str">
        <f>IF(IT名單!$B56="","",IT名單!$B56)</f>
        <v>工程資訊部</v>
      </c>
      <c r="C58" s="16" t="str">
        <f>IF(IT名單!$C56="","",IT名單!$C56)</f>
        <v>IEC090665</v>
      </c>
      <c r="D58" s="18" t="str">
        <f>IF(IT名單!$D56="","",IT名單!$D56)</f>
        <v>黃珮瑜</v>
      </c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9"/>
      <c r="AA58" s="19"/>
      <c r="AB58" s="19"/>
      <c r="AC58" s="19"/>
      <c r="AD58" s="19"/>
      <c r="AE58" s="19"/>
      <c r="AF58" s="19"/>
      <c r="AG58" s="19"/>
      <c r="AH58" s="19"/>
      <c r="AI58" s="19"/>
    </row>
    <row r="59" spans="1:35" x14ac:dyDescent="0.3">
      <c r="A59" s="2" t="str">
        <f>IF(IT名單!$A57="","",IT名單!$A57)</f>
        <v>辦公室自動化部</v>
      </c>
      <c r="B59" s="2" t="str">
        <f>IF(IT名單!$B57="","",IT名單!$B57)</f>
        <v>辦公室自動化部</v>
      </c>
      <c r="C59" s="16" t="str">
        <f>IF(IT名單!$C57="","",IT名單!$C57)</f>
        <v>IEC940858</v>
      </c>
      <c r="D59" s="18" t="str">
        <f>IF(IT名單!$D57="","",IT名單!$D57)</f>
        <v>卓儀香</v>
      </c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s="19"/>
      <c r="AA59" s="19"/>
      <c r="AB59" s="19"/>
      <c r="AC59" s="19"/>
      <c r="AD59" s="19"/>
      <c r="AE59" s="19"/>
      <c r="AF59" s="19"/>
      <c r="AG59" s="19"/>
      <c r="AH59" s="19"/>
      <c r="AI59" s="19"/>
    </row>
    <row r="60" spans="1:35" x14ac:dyDescent="0.3">
      <c r="A60" s="2" t="str">
        <f>IF(IT名單!$A58="","",IT名單!$A58)</f>
        <v>辦公室自動化部</v>
      </c>
      <c r="B60" s="2" t="str">
        <f>IF(IT名單!$B58="","",IT名單!$B58)</f>
        <v>辦公室自動化部</v>
      </c>
      <c r="C60" s="16" t="str">
        <f>IF(IT名單!$C58="","",IT名單!$C58)</f>
        <v>IEC880056</v>
      </c>
      <c r="D60" s="18" t="str">
        <f>IF(IT名單!$D58="","",IT名單!$D58)</f>
        <v>楊志金</v>
      </c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9"/>
      <c r="AA60" s="19"/>
      <c r="AB60" s="19"/>
      <c r="AC60" s="19"/>
      <c r="AD60" s="19"/>
      <c r="AE60" s="19"/>
      <c r="AF60" s="19"/>
      <c r="AG60" s="19"/>
      <c r="AH60" s="19"/>
      <c r="AI60" s="19"/>
    </row>
    <row r="61" spans="1:35" x14ac:dyDescent="0.3">
      <c r="A61" s="2" t="str">
        <f>IF(IT名單!$A59="","",IT名單!$A59)</f>
        <v>辦公室自動化部</v>
      </c>
      <c r="B61" s="2" t="str">
        <f>IF(IT名單!$B59="","",IT名單!$B59)</f>
        <v>辦公室自動化部</v>
      </c>
      <c r="C61" s="16" t="str">
        <f>IF(IT名單!$C59="","",IT名單!$C59)</f>
        <v>IEC891803</v>
      </c>
      <c r="D61" s="18" t="str">
        <f>IF(IT名單!$D59="","",IT名單!$D59)</f>
        <v>江文狄</v>
      </c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Z61" s="19"/>
      <c r="AA61" s="19"/>
      <c r="AB61" s="19"/>
      <c r="AC61" s="19"/>
      <c r="AD61" s="19"/>
      <c r="AE61" s="19"/>
      <c r="AF61" s="19"/>
      <c r="AG61" s="19"/>
      <c r="AH61" s="19"/>
      <c r="AI61" s="19"/>
    </row>
    <row r="62" spans="1:35" x14ac:dyDescent="0.3">
      <c r="A62" s="2" t="str">
        <f>IF(IT名單!$A60="","",IT名單!$A60)</f>
        <v>辦公室自動化部</v>
      </c>
      <c r="B62" s="2" t="str">
        <f>IF(IT名單!$B60="","",IT名單!$B60)</f>
        <v>辦公室自動化部</v>
      </c>
      <c r="C62" s="16" t="str">
        <f>IF(IT名單!$C60="","",IT名單!$C60)</f>
        <v>IEC110460</v>
      </c>
      <c r="D62" s="18" t="str">
        <f>IF(IT名單!$D60="","",IT名單!$D60)</f>
        <v>劉嘉萍</v>
      </c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Z62" s="19"/>
      <c r="AA62" s="19"/>
      <c r="AB62" s="19"/>
      <c r="AC62" s="19"/>
      <c r="AD62" s="19"/>
      <c r="AE62" s="19"/>
      <c r="AF62" s="19"/>
      <c r="AG62" s="19"/>
      <c r="AH62" s="19"/>
      <c r="AI62" s="19"/>
    </row>
    <row r="63" spans="1:35" x14ac:dyDescent="0.3">
      <c r="A63" s="2" t="str">
        <f>IF(IT名單!$A61="","",IT名單!$A61)</f>
        <v>辦公室自動化部</v>
      </c>
      <c r="B63" s="2" t="str">
        <f>IF(IT名單!$B61="","",IT名單!$B61)</f>
        <v>辦公室自動化部</v>
      </c>
      <c r="C63" s="16" t="str">
        <f>IF(IT名單!$C61="","",IT名單!$C61)</f>
        <v>IEC971170</v>
      </c>
      <c r="D63" s="18" t="str">
        <f>IF(IT名單!$D61="","",IT名單!$D61)</f>
        <v>林匯融</v>
      </c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Z63" s="19"/>
      <c r="AA63" s="19"/>
      <c r="AB63" s="19"/>
      <c r="AC63" s="19"/>
      <c r="AD63" s="19"/>
      <c r="AE63" s="19"/>
      <c r="AF63" s="19"/>
      <c r="AG63" s="19"/>
      <c r="AH63" s="19"/>
      <c r="AI63" s="19"/>
    </row>
    <row r="64" spans="1:35" x14ac:dyDescent="0.3">
      <c r="A64" s="2" t="str">
        <f>IF(IT名單!$A62="","",IT名單!$A62)</f>
        <v>辦公室自動化部</v>
      </c>
      <c r="B64" s="2" t="str">
        <f>IF(IT名單!$B62="","",IT名單!$B62)</f>
        <v>辦公室自動化部</v>
      </c>
      <c r="C64" s="16" t="str">
        <f>IF(IT名單!$C62="","",IT名單!$C62)</f>
        <v>IEC130161</v>
      </c>
      <c r="D64" s="18" t="str">
        <f>IF(IT名單!$D62="","",IT名單!$D62)</f>
        <v>黃采苓</v>
      </c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Z64" s="19"/>
      <c r="AA64" s="19"/>
      <c r="AB64" s="19"/>
      <c r="AC64" s="19"/>
      <c r="AD64" s="19"/>
      <c r="AE64" s="19"/>
      <c r="AF64" s="19"/>
      <c r="AG64" s="19"/>
      <c r="AH64" s="19"/>
      <c r="AI64" s="19"/>
    </row>
    <row r="65" spans="1:35" x14ac:dyDescent="0.3">
      <c r="A65" s="2" t="str">
        <f>IF(IT名單!$A63="","",IT名單!$A63)</f>
        <v>資訊安全管理部</v>
      </c>
      <c r="B65" s="2" t="str">
        <f>IF(IT名單!$B63="","",IT名單!$B63)</f>
        <v>資訊安全管理部</v>
      </c>
      <c r="C65" s="16" t="str">
        <f>IF(IT名單!$C63="","",IT名單!$C63)</f>
        <v>IEC000395</v>
      </c>
      <c r="D65" s="18" t="str">
        <f>IF(IT名單!$D63="","",IT名單!$D63)</f>
        <v>陳界廷</v>
      </c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  <c r="Z65" s="19"/>
      <c r="AA65" s="19"/>
      <c r="AB65" s="19"/>
      <c r="AC65" s="19"/>
      <c r="AD65" s="19"/>
      <c r="AE65" s="19"/>
      <c r="AF65" s="19"/>
      <c r="AG65" s="19"/>
      <c r="AH65" s="19"/>
      <c r="AI65" s="19"/>
    </row>
    <row r="66" spans="1:35" x14ac:dyDescent="0.3">
      <c r="A66" s="2" t="str">
        <f>IF(IT名單!$A64="","",IT名單!$A64)</f>
        <v>資訊安全管理部</v>
      </c>
      <c r="B66" s="2" t="str">
        <f>IF(IT名單!$B64="","",IT名單!$B64)</f>
        <v>資訊安全管理部</v>
      </c>
      <c r="C66" s="16" t="str">
        <f>IF(IT名單!$C64="","",IT名單!$C64)</f>
        <v>IEC020141</v>
      </c>
      <c r="D66" s="18" t="str">
        <f>IF(IT名單!$D64="","",IT名單!$D64)</f>
        <v>黃上睿</v>
      </c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Z66" s="19"/>
      <c r="AA66" s="19"/>
      <c r="AB66" s="19"/>
      <c r="AC66" s="19"/>
      <c r="AD66" s="19"/>
      <c r="AE66" s="19"/>
      <c r="AF66" s="19"/>
      <c r="AG66" s="19"/>
      <c r="AH66" s="19"/>
      <c r="AI66" s="19"/>
    </row>
    <row r="67" spans="1:35" x14ac:dyDescent="0.3">
      <c r="A67" s="2" t="str">
        <f>IF(IT名單!$A65="","",IT名單!$A65)</f>
        <v>資訊安全管理部</v>
      </c>
      <c r="B67" s="2" t="str">
        <f>IF(IT名單!$B65="","",IT名單!$B65)</f>
        <v>資訊安全管理部</v>
      </c>
      <c r="C67" s="16" t="str">
        <f>IF(IT名單!$C65="","",IT名單!$C65)</f>
        <v>IEC060674</v>
      </c>
      <c r="D67" s="18" t="str">
        <f>IF(IT名單!$D65="","",IT名單!$D65)</f>
        <v>劉益銘</v>
      </c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  <c r="Z67" s="19"/>
      <c r="AA67" s="19"/>
      <c r="AB67" s="19"/>
      <c r="AC67" s="19"/>
      <c r="AD67" s="19"/>
      <c r="AE67" s="19"/>
      <c r="AF67" s="19"/>
      <c r="AG67" s="19"/>
      <c r="AH67" s="19"/>
      <c r="AI67" s="19"/>
    </row>
    <row r="68" spans="1:35" x14ac:dyDescent="0.3">
      <c r="A68" s="2" t="str">
        <f>IF(IT名單!$A66="","",IT名單!$A66)</f>
        <v>資訊安全管理部</v>
      </c>
      <c r="B68" s="2" t="str">
        <f>IF(IT名單!$B66="","",IT名單!$B66)</f>
        <v>資訊安全管理部</v>
      </c>
      <c r="C68" s="16" t="str">
        <f>IF(IT名單!$C66="","",IT名單!$C66)</f>
        <v>IEC080081</v>
      </c>
      <c r="D68" s="18" t="str">
        <f>IF(IT名單!$D66="","",IT名單!$D66)</f>
        <v>顏振宇</v>
      </c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Z68" s="19"/>
      <c r="AA68" s="19"/>
      <c r="AB68" s="19"/>
      <c r="AC68" s="19"/>
      <c r="AD68" s="19"/>
      <c r="AE68" s="19"/>
      <c r="AF68" s="19"/>
      <c r="AG68" s="19"/>
      <c r="AH68" s="19"/>
      <c r="AI68" s="19"/>
    </row>
    <row r="69" spans="1:35" x14ac:dyDescent="0.3">
      <c r="A69" s="2" t="str">
        <f>IF(IT名單!$A67="","",IT名單!$A67)</f>
        <v>資訊安全管理部</v>
      </c>
      <c r="B69" s="2" t="str">
        <f>IF(IT名單!$B67="","",IT名單!$B67)</f>
        <v>資訊安全管理部</v>
      </c>
      <c r="C69" s="16" t="str">
        <f>IF(IT名單!$C67="","",IT名單!$C67)</f>
        <v>IEC090070</v>
      </c>
      <c r="D69" s="18" t="str">
        <f>IF(IT名單!$D67="","",IT名單!$D67)</f>
        <v>吳彥廷</v>
      </c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9"/>
      <c r="AA69" s="19"/>
      <c r="AB69" s="19"/>
      <c r="AC69" s="19"/>
      <c r="AD69" s="19"/>
      <c r="AE69" s="19"/>
      <c r="AF69" s="19"/>
      <c r="AG69" s="19"/>
      <c r="AH69" s="19"/>
      <c r="AI69" s="19"/>
    </row>
    <row r="70" spans="1:35" x14ac:dyDescent="0.3">
      <c r="A70" s="2" t="str">
        <f>IF(IT名單!$A68="","",IT名單!$A68)</f>
        <v>資訊安全管理部</v>
      </c>
      <c r="B70" s="2" t="str">
        <f>IF(IT名單!$B68="","",IT名單!$B68)</f>
        <v>資訊安全管理部</v>
      </c>
      <c r="C70" s="16" t="str">
        <f>IF(IT名單!$C68="","",IT名單!$C68)</f>
        <v>IEC110694</v>
      </c>
      <c r="D70" s="18" t="str">
        <f>IF(IT名單!$D68="","",IT名單!$D68)</f>
        <v>林婕妤</v>
      </c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19"/>
      <c r="AA70" s="19"/>
      <c r="AB70" s="19"/>
      <c r="AC70" s="19"/>
      <c r="AD70" s="19"/>
      <c r="AE70" s="19"/>
      <c r="AF70" s="19"/>
      <c r="AG70" s="19"/>
      <c r="AH70" s="19"/>
      <c r="AI70" s="19"/>
    </row>
    <row r="71" spans="1:35" x14ac:dyDescent="0.3">
      <c r="A71" s="2" t="str">
        <f>IF(IT名單!$A69="","",IT名單!$A69)</f>
        <v>資訊架構管理一部</v>
      </c>
      <c r="B71" s="2" t="str">
        <f>IF(IT名單!$B69="","",IT名單!$B69)</f>
        <v>資訊架構管理一部</v>
      </c>
      <c r="C71" s="16" t="str">
        <f>IF(IT名單!$C69="","",IT名單!$C69)</f>
        <v>IEC861249</v>
      </c>
      <c r="D71" s="18" t="str">
        <f>IF(IT名單!$D69="","",IT名單!$D69)</f>
        <v>陳明煌</v>
      </c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9"/>
      <c r="AA71" s="19"/>
      <c r="AB71" s="19"/>
      <c r="AC71" s="19"/>
      <c r="AD71" s="19"/>
      <c r="AE71" s="19"/>
      <c r="AF71" s="19"/>
      <c r="AG71" s="19"/>
      <c r="AH71" s="19"/>
      <c r="AI71" s="19"/>
    </row>
    <row r="72" spans="1:35" x14ac:dyDescent="0.3">
      <c r="A72" s="2" t="str">
        <f>IF(IT名單!$A70="","",IT名單!$A70)</f>
        <v>資訊架構管理一部</v>
      </c>
      <c r="B72" s="2" t="str">
        <f>IF(IT名單!$B70="","",IT名單!$B70)</f>
        <v>資訊架構管理一部</v>
      </c>
      <c r="C72" s="16" t="str">
        <f>IF(IT名單!$C70="","",IT名單!$C70)</f>
        <v>IEC000079</v>
      </c>
      <c r="D72" s="18" t="str">
        <f>IF(IT名單!$D70="","",IT名單!$D70)</f>
        <v>洪兆禧</v>
      </c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Z72" s="19"/>
      <c r="AA72" s="19"/>
      <c r="AB72" s="19"/>
      <c r="AC72" s="19"/>
      <c r="AD72" s="19"/>
      <c r="AE72" s="19"/>
      <c r="AF72" s="19"/>
      <c r="AG72" s="19"/>
      <c r="AH72" s="19"/>
      <c r="AI72" s="19"/>
    </row>
    <row r="73" spans="1:35" x14ac:dyDescent="0.3">
      <c r="A73" s="2" t="str">
        <f>IF(IT名單!$A71="","",IT名單!$A71)</f>
        <v>資訊架構管理一部</v>
      </c>
      <c r="B73" s="2" t="str">
        <f>IF(IT名單!$B71="","",IT名單!$B71)</f>
        <v>資訊架構管理一部</v>
      </c>
      <c r="C73" s="16" t="str">
        <f>IF(IT名單!$C71="","",IT名單!$C71)</f>
        <v>IEC030375</v>
      </c>
      <c r="D73" s="18" t="str">
        <f>IF(IT名單!$D71="","",IT名單!$D71)</f>
        <v>詹家銘</v>
      </c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Z73" s="19"/>
      <c r="AA73" s="19"/>
      <c r="AB73" s="19"/>
      <c r="AC73" s="19"/>
      <c r="AD73" s="19"/>
      <c r="AE73" s="19"/>
      <c r="AF73" s="19"/>
      <c r="AG73" s="19"/>
      <c r="AH73" s="19"/>
      <c r="AI73" s="19"/>
    </row>
    <row r="74" spans="1:35" x14ac:dyDescent="0.3">
      <c r="A74" s="2" t="str">
        <f>IF(IT名單!$A72="","",IT名單!$A72)</f>
        <v>資訊架構管理一部</v>
      </c>
      <c r="B74" s="2" t="str">
        <f>IF(IT名單!$B72="","",IT名單!$B72)</f>
        <v>資訊架構管理一部</v>
      </c>
      <c r="C74" s="16" t="str">
        <f>IF(IT名單!$C72="","",IT名單!$C72)</f>
        <v>IEC040174</v>
      </c>
      <c r="D74" s="18" t="str">
        <f>IF(IT名單!$D72="","",IT名單!$D72)</f>
        <v>余美儒</v>
      </c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Z74" s="19"/>
      <c r="AA74" s="19"/>
      <c r="AB74" s="19"/>
      <c r="AC74" s="19"/>
      <c r="AD74" s="19"/>
      <c r="AE74" s="19"/>
      <c r="AF74" s="19"/>
      <c r="AG74" s="19"/>
      <c r="AH74" s="19"/>
      <c r="AI74" s="19"/>
    </row>
    <row r="75" spans="1:35" x14ac:dyDescent="0.3">
      <c r="A75" s="2" t="str">
        <f>IF(IT名單!$A73="","",IT名單!$A73)</f>
        <v>資訊架構管理一部</v>
      </c>
      <c r="B75" s="2" t="str">
        <f>IF(IT名單!$B73="","",IT名單!$B73)</f>
        <v>資訊架構管理一部</v>
      </c>
      <c r="C75" s="16" t="str">
        <f>IF(IT名單!$C73="","",IT名單!$C73)</f>
        <v>IEC060082</v>
      </c>
      <c r="D75" s="18" t="str">
        <f>IF(IT名單!$D73="","",IT名單!$D73)</f>
        <v>林明賢</v>
      </c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Z75" s="19"/>
      <c r="AA75" s="19"/>
      <c r="AB75" s="19"/>
      <c r="AC75" s="19"/>
      <c r="AD75" s="19"/>
      <c r="AE75" s="19"/>
      <c r="AF75" s="19"/>
      <c r="AG75" s="19"/>
      <c r="AH75" s="19"/>
      <c r="AI75" s="19"/>
    </row>
    <row r="76" spans="1:35" x14ac:dyDescent="0.3">
      <c r="A76" s="2" t="str">
        <f>IF(IT名單!$A74="","",IT名單!$A74)</f>
        <v>資訊架構管理一部</v>
      </c>
      <c r="B76" s="2" t="str">
        <f>IF(IT名單!$B74="","",IT名單!$B74)</f>
        <v>資訊架構管理一部</v>
      </c>
      <c r="C76" s="16" t="str">
        <f>IF(IT名單!$C74="","",IT名單!$C74)</f>
        <v>IEC090481</v>
      </c>
      <c r="D76" s="18" t="str">
        <f>IF(IT名單!$D74="","",IT名單!$D74)</f>
        <v>梁景翔</v>
      </c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Z76" s="19"/>
      <c r="AA76" s="19"/>
      <c r="AB76" s="19"/>
      <c r="AC76" s="19"/>
      <c r="AD76" s="19"/>
      <c r="AE76" s="19"/>
      <c r="AF76" s="19"/>
      <c r="AG76" s="19"/>
      <c r="AH76" s="19"/>
      <c r="AI76" s="19"/>
    </row>
    <row r="77" spans="1:35" x14ac:dyDescent="0.3">
      <c r="A77" s="2" t="str">
        <f>IF(IT名單!$A75="","",IT名單!$A75)</f>
        <v>資訊架構管理一部</v>
      </c>
      <c r="B77" s="2" t="str">
        <f>IF(IT名單!$B75="","",IT名單!$B75)</f>
        <v>資訊架構管理一部</v>
      </c>
      <c r="C77" s="16" t="str">
        <f>IF(IT名單!$C75="","",IT名單!$C75)</f>
        <v>IEC090725</v>
      </c>
      <c r="D77" s="18" t="str">
        <f>IF(IT名單!$D75="","",IT名單!$D75)</f>
        <v>吳俊翰</v>
      </c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  <c r="Z77" s="19"/>
      <c r="AA77" s="19"/>
      <c r="AB77" s="19"/>
      <c r="AC77" s="19"/>
      <c r="AD77" s="19"/>
      <c r="AE77" s="19"/>
      <c r="AF77" s="19"/>
      <c r="AG77" s="19"/>
      <c r="AH77" s="19"/>
      <c r="AI77" s="19"/>
    </row>
    <row r="78" spans="1:35" x14ac:dyDescent="0.3">
      <c r="A78" s="2" t="str">
        <f>IF(IT名單!$A76="","",IT名單!$A76)</f>
        <v>資訊架構管理一部</v>
      </c>
      <c r="B78" s="2" t="str">
        <f>IF(IT名單!$B76="","",IT名單!$B76)</f>
        <v>資訊架構管理一部</v>
      </c>
      <c r="C78" s="16" t="str">
        <f>IF(IT名單!$C76="","",IT名單!$C76)</f>
        <v>IEC110904</v>
      </c>
      <c r="D78" s="18" t="str">
        <f>IF(IT名單!$D76="","",IT名單!$D76)</f>
        <v>呂志綸</v>
      </c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Z78" s="19"/>
      <c r="AA78" s="19"/>
      <c r="AB78" s="19"/>
      <c r="AC78" s="19"/>
      <c r="AD78" s="19"/>
      <c r="AE78" s="19"/>
      <c r="AF78" s="19"/>
      <c r="AG78" s="19"/>
      <c r="AH78" s="19"/>
      <c r="AI78" s="19"/>
    </row>
    <row r="79" spans="1:35" x14ac:dyDescent="0.3">
      <c r="A79" s="2" t="str">
        <f>IF(IT名單!$A77="","",IT名單!$A77)</f>
        <v>資訊架構管理一部</v>
      </c>
      <c r="B79" s="2" t="str">
        <f>IF(IT名單!$B77="","",IT名單!$B77)</f>
        <v>資訊架構管理一部</v>
      </c>
      <c r="C79" s="16" t="str">
        <f>IF(IT名單!$C77="","",IT名單!$C77)</f>
        <v>IEC120885</v>
      </c>
      <c r="D79" s="18" t="str">
        <f>IF(IT名單!$D77="","",IT名單!$D77)</f>
        <v>李明訓</v>
      </c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  <c r="Z79" s="19"/>
      <c r="AA79" s="19"/>
      <c r="AB79" s="19"/>
      <c r="AC79" s="19"/>
      <c r="AD79" s="19"/>
      <c r="AE79" s="19"/>
      <c r="AF79" s="19"/>
      <c r="AG79" s="19"/>
      <c r="AH79" s="19"/>
      <c r="AI79" s="19"/>
    </row>
    <row r="80" spans="1:35" x14ac:dyDescent="0.3">
      <c r="A80" s="2" t="str">
        <f>IF(IT名單!$A78="","",IT名單!$A78)</f>
        <v>資訊架構管理一部</v>
      </c>
      <c r="B80" s="2" t="str">
        <f>IF(IT名單!$B78="","",IT名單!$B78)</f>
        <v>資訊架構管理一部</v>
      </c>
      <c r="C80" s="16" t="str">
        <f>IF(IT名單!$C78="","",IT名單!$C78)</f>
        <v>IEC870050</v>
      </c>
      <c r="D80" s="18" t="str">
        <f>IF(IT名單!$D78="","",IT名單!$D78)</f>
        <v>江家禎</v>
      </c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  <c r="Z80" s="19"/>
      <c r="AA80" s="19"/>
      <c r="AB80" s="19"/>
      <c r="AC80" s="19"/>
      <c r="AD80" s="19"/>
      <c r="AE80" s="19"/>
      <c r="AF80" s="19"/>
      <c r="AG80" s="19"/>
      <c r="AH80" s="19"/>
      <c r="AI80" s="19"/>
    </row>
    <row r="81" spans="1:35" x14ac:dyDescent="0.3">
      <c r="A81" s="2" t="str">
        <f>IF(IT名單!$A79="","",IT名單!$A79)</f>
        <v>資訊架構管理一部</v>
      </c>
      <c r="B81" s="2" t="str">
        <f>IF(IT名單!$B79="","",IT名單!$B79)</f>
        <v>資訊架構管理一部</v>
      </c>
      <c r="C81" s="16" t="str">
        <f>IF(IT名單!$C79="","",IT名單!$C79)</f>
        <v>IEC891087</v>
      </c>
      <c r="D81" s="18" t="str">
        <f>IF(IT名單!$D79="","",IT名單!$D79)</f>
        <v>許坤鋒</v>
      </c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Z81" s="19"/>
      <c r="AA81" s="19"/>
      <c r="AB81" s="19"/>
      <c r="AC81" s="19"/>
      <c r="AD81" s="19"/>
      <c r="AE81" s="19"/>
      <c r="AF81" s="19"/>
      <c r="AG81" s="19"/>
      <c r="AH81" s="19"/>
      <c r="AI81" s="19"/>
    </row>
    <row r="82" spans="1:35" x14ac:dyDescent="0.3">
      <c r="A82" s="2" t="str">
        <f>IF(IT名單!$A80="","",IT名單!$A80)</f>
        <v>資訊架構管理一部</v>
      </c>
      <c r="B82" s="2" t="str">
        <f>IF(IT名單!$B80="","",IT名單!$B80)</f>
        <v>資訊架構管理一部</v>
      </c>
      <c r="C82" s="16" t="str">
        <f>IF(IT名單!$C80="","",IT名單!$C80)</f>
        <v>IEC990333</v>
      </c>
      <c r="D82" s="18" t="str">
        <f>IF(IT名單!$D80="","",IT名單!$D80)</f>
        <v>游博宇</v>
      </c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9"/>
      <c r="AA82" s="19"/>
      <c r="AB82" s="19"/>
      <c r="AC82" s="19"/>
      <c r="AD82" s="19"/>
      <c r="AE82" s="19"/>
      <c r="AF82" s="19"/>
      <c r="AG82" s="19"/>
      <c r="AH82" s="19"/>
      <c r="AI82" s="19"/>
    </row>
    <row r="83" spans="1:35" x14ac:dyDescent="0.3">
      <c r="A83" s="2" t="str">
        <f>IF(IT名單!$A81="","",IT名單!$A81)</f>
        <v>資訊架構管理一部</v>
      </c>
      <c r="B83" s="2" t="str">
        <f>IF(IT名單!$B81="","",IT名單!$B81)</f>
        <v>資訊架構管理一部</v>
      </c>
      <c r="C83" s="16" t="str">
        <f>IF(IT名單!$C81="","",IT名單!$C81)</f>
        <v>IEC130160</v>
      </c>
      <c r="D83" s="18" t="str">
        <f>IF(IT名單!$D81="","",IT名單!$D81)</f>
        <v>遲正功</v>
      </c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19"/>
      <c r="R83" s="19"/>
      <c r="S83" s="19"/>
      <c r="T83" s="19"/>
      <c r="U83" s="19"/>
      <c r="V83" s="19"/>
      <c r="W83" s="19"/>
      <c r="X83" s="19"/>
      <c r="Y83" s="19"/>
      <c r="Z83" s="19"/>
      <c r="AA83" s="19"/>
      <c r="AB83" s="19"/>
      <c r="AC83" s="19"/>
      <c r="AD83" s="19"/>
      <c r="AE83" s="19"/>
      <c r="AF83" s="19"/>
      <c r="AG83" s="19"/>
      <c r="AH83" s="19"/>
      <c r="AI83" s="19"/>
    </row>
    <row r="84" spans="1:35" x14ac:dyDescent="0.3">
      <c r="A84" s="2" t="str">
        <f>IF(IT名單!$A82="","",IT名單!$A82)</f>
        <v>伺服器資訊開發中心</v>
      </c>
      <c r="B84" s="2" t="str">
        <f>IF(IT名單!$B82="","",IT名單!$B82)</f>
        <v>伺服器資訊開發中心</v>
      </c>
      <c r="C84" s="16" t="str">
        <f>IF(IT名單!$C82="","",IT名單!$C82)</f>
        <v>IEC930136</v>
      </c>
      <c r="D84" s="18" t="str">
        <f>IF(IT名單!$D82="","",IT名單!$D82)</f>
        <v>王一安</v>
      </c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19"/>
      <c r="V84" s="19"/>
      <c r="W84" s="19"/>
      <c r="X84" s="19"/>
      <c r="Y84" s="19"/>
      <c r="Z84" s="19"/>
      <c r="AA84" s="19"/>
      <c r="AB84" s="19"/>
      <c r="AC84" s="19"/>
      <c r="AD84" s="19"/>
      <c r="AE84" s="19"/>
      <c r="AF84" s="19"/>
      <c r="AG84" s="19"/>
      <c r="AH84" s="19"/>
      <c r="AI84" s="19"/>
    </row>
    <row r="85" spans="1:35" x14ac:dyDescent="0.3">
      <c r="A85" s="2" t="str">
        <f>IF(IT名單!$A83="","",IT名單!$A83)</f>
        <v>伺服器資訊開發中心</v>
      </c>
      <c r="B85" s="2" t="str">
        <f>IF(IT名單!$B83="","",IT名單!$B83)</f>
        <v>伺服器資訊開發中心</v>
      </c>
      <c r="C85" s="16" t="str">
        <f>IF(IT名單!$C83="","",IT名單!$C83)</f>
        <v>IEC130226</v>
      </c>
      <c r="D85" s="18" t="str">
        <f>IF(IT名單!$D83="","",IT名單!$D83)</f>
        <v>謝育勳</v>
      </c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  <c r="Q85" s="19"/>
      <c r="R85" s="19"/>
      <c r="S85" s="19"/>
      <c r="T85" s="19"/>
      <c r="U85" s="19"/>
      <c r="V85" s="19"/>
      <c r="W85" s="19"/>
      <c r="X85" s="19"/>
      <c r="Y85" s="19"/>
      <c r="Z85" s="19"/>
      <c r="AA85" s="19"/>
      <c r="AB85" s="19"/>
      <c r="AC85" s="19"/>
      <c r="AD85" s="19"/>
      <c r="AE85" s="19"/>
      <c r="AF85" s="19"/>
      <c r="AG85" s="19"/>
      <c r="AH85" s="19"/>
      <c r="AI85" s="19"/>
    </row>
    <row r="86" spans="1:35" x14ac:dyDescent="0.3">
      <c r="A86" s="2" t="str">
        <f>IF(IT名單!$A84="","",IT名單!$A84)</f>
        <v>伺服器資訊開發中心</v>
      </c>
      <c r="B86" s="2" t="str">
        <f>IF(IT名單!$B84="","",IT名單!$B84)</f>
        <v>伺服器資訊開發中心</v>
      </c>
      <c r="C86" s="16" t="str">
        <f>IF(IT名單!$C84="","",IT名單!$C84)</f>
        <v>IEC870954</v>
      </c>
      <c r="D86" s="18" t="str">
        <f>IF(IT名單!$D84="","",IT名單!$D84)</f>
        <v>司笑梅</v>
      </c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9"/>
      <c r="AA86" s="19"/>
      <c r="AB86" s="19"/>
      <c r="AC86" s="19"/>
      <c r="AD86" s="19"/>
      <c r="AE86" s="19"/>
      <c r="AF86" s="19"/>
      <c r="AG86" s="19"/>
      <c r="AH86" s="19"/>
      <c r="AI86" s="19"/>
    </row>
    <row r="87" spans="1:35" x14ac:dyDescent="0.3">
      <c r="A87" s="2" t="str">
        <f>IF(IT名單!$A85="","",IT名單!$A85)</f>
        <v>資訊專案計劃室</v>
      </c>
      <c r="B87" s="2" t="str">
        <f>IF(IT名單!$B85="","",IT名單!$B85)</f>
        <v>資訊專案計劃室</v>
      </c>
      <c r="C87" s="16" t="str">
        <f>IF(IT名單!$C85="","",IT名單!$C85)</f>
        <v>IEC020266</v>
      </c>
      <c r="D87" s="18" t="str">
        <f>IF(IT名單!$D85="","",IT名單!$D85)</f>
        <v>李思穎</v>
      </c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  <c r="T87" s="19"/>
      <c r="U87" s="19"/>
      <c r="V87" s="19"/>
      <c r="W87" s="19"/>
      <c r="X87" s="19"/>
      <c r="Y87" s="19"/>
      <c r="Z87" s="19"/>
      <c r="AA87" s="19"/>
      <c r="AB87" s="19"/>
      <c r="AC87" s="19"/>
      <c r="AD87" s="19"/>
      <c r="AE87" s="19"/>
      <c r="AF87" s="19"/>
      <c r="AG87" s="19"/>
      <c r="AH87" s="19"/>
      <c r="AI87" s="19"/>
    </row>
    <row r="88" spans="1:35" x14ac:dyDescent="0.3">
      <c r="A88" s="2" t="str">
        <f>IF(IT名單!$A86="","",IT名單!$A86)</f>
        <v>資訊專案計劃室</v>
      </c>
      <c r="B88" s="2" t="str">
        <f>IF(IT名單!$B86="","",IT名單!$B86)</f>
        <v>資訊專案計劃室</v>
      </c>
      <c r="C88" s="16" t="str">
        <f>IF(IT名單!$C86="","",IT名單!$C86)</f>
        <v>IEC040048</v>
      </c>
      <c r="D88" s="18" t="str">
        <f>IF(IT名單!$D86="","",IT名單!$D86)</f>
        <v>陳洛麟</v>
      </c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  <c r="W88" s="19"/>
      <c r="X88" s="19"/>
      <c r="Y88" s="19"/>
      <c r="Z88" s="19"/>
      <c r="AA88" s="19"/>
      <c r="AB88" s="19"/>
      <c r="AC88" s="19"/>
      <c r="AD88" s="19"/>
      <c r="AE88" s="19"/>
      <c r="AF88" s="19"/>
      <c r="AG88" s="19"/>
      <c r="AH88" s="19"/>
      <c r="AI88" s="19"/>
    </row>
    <row r="89" spans="1:35" x14ac:dyDescent="0.3">
      <c r="A89" s="2" t="str">
        <f>IF(IT名單!$A87="","",IT名單!$A87)</f>
        <v>資訊專案計劃室</v>
      </c>
      <c r="B89" s="2" t="str">
        <f>IF(IT名單!$B87="","",IT名單!$B87)</f>
        <v>資訊專案計劃室</v>
      </c>
      <c r="C89" s="16" t="str">
        <f>IF(IT名單!$C87="","",IT名單!$C87)</f>
        <v>IEC110946</v>
      </c>
      <c r="D89" s="18" t="str">
        <f>IF(IT名單!$D87="","",IT名單!$D87)</f>
        <v>吳彥輝</v>
      </c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  <c r="S89" s="19"/>
      <c r="T89" s="19"/>
      <c r="U89" s="19"/>
      <c r="V89" s="19"/>
      <c r="W89" s="19"/>
      <c r="X89" s="19"/>
      <c r="Y89" s="19"/>
      <c r="Z89" s="19"/>
      <c r="AA89" s="19"/>
      <c r="AB89" s="19"/>
      <c r="AC89" s="19"/>
      <c r="AD89" s="19"/>
      <c r="AE89" s="19"/>
      <c r="AF89" s="19"/>
      <c r="AG89" s="19"/>
      <c r="AH89" s="19"/>
      <c r="AI89" s="19"/>
    </row>
    <row r="90" spans="1:35" x14ac:dyDescent="0.3">
      <c r="A90" s="2" t="str">
        <f>IF(IT名單!$A88="","",IT名單!$A88)</f>
        <v>資訊專案計劃室</v>
      </c>
      <c r="B90" s="2" t="str">
        <f>IF(IT名單!$B88="","",IT名單!$B88)</f>
        <v>資訊專案計劃室</v>
      </c>
      <c r="C90" s="16" t="str">
        <f>IF(IT名單!$C88="","",IT名單!$C88)</f>
        <v>IEC120713</v>
      </c>
      <c r="D90" s="18" t="str">
        <f>IF(IT名單!$D88="","",IT名單!$D88)</f>
        <v>楊家福</v>
      </c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  <c r="S90" s="19"/>
      <c r="T90" s="19"/>
      <c r="U90" s="19"/>
      <c r="V90" s="19"/>
      <c r="W90" s="19"/>
      <c r="X90" s="19"/>
      <c r="Y90" s="19"/>
      <c r="Z90" s="19"/>
      <c r="AA90" s="19"/>
      <c r="AB90" s="19"/>
      <c r="AC90" s="19"/>
      <c r="AD90" s="19"/>
      <c r="AE90" s="19"/>
      <c r="AF90" s="19"/>
      <c r="AG90" s="19"/>
      <c r="AH90" s="19"/>
      <c r="AI90" s="19"/>
    </row>
    <row r="91" spans="1:35" x14ac:dyDescent="0.3">
      <c r="A91" s="2" t="str">
        <f>IF(IT名單!$A89="","",IT名單!$A89)</f>
        <v>資訊專案計劃室</v>
      </c>
      <c r="B91" s="2" t="str">
        <f>IF(IT名單!$B89="","",IT名單!$B89)</f>
        <v>資訊專案計劃室</v>
      </c>
      <c r="C91" s="16" t="str">
        <f>IF(IT名單!$C89="","",IT名單!$C89)</f>
        <v>IEC880176</v>
      </c>
      <c r="D91" s="18" t="str">
        <f>IF(IT名單!$D89="","",IT名單!$D89)</f>
        <v>邱雯鈴</v>
      </c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  <c r="Q91" s="19"/>
      <c r="R91" s="19"/>
      <c r="S91" s="19"/>
      <c r="T91" s="19"/>
      <c r="U91" s="19"/>
      <c r="V91" s="19"/>
      <c r="W91" s="19"/>
      <c r="X91" s="19"/>
      <c r="Y91" s="19"/>
      <c r="Z91" s="19"/>
      <c r="AA91" s="19"/>
      <c r="AB91" s="19"/>
      <c r="AC91" s="19"/>
      <c r="AD91" s="19"/>
      <c r="AE91" s="19"/>
      <c r="AF91" s="19"/>
      <c r="AG91" s="19"/>
      <c r="AH91" s="19"/>
      <c r="AI91" s="19"/>
    </row>
    <row r="92" spans="1:35" x14ac:dyDescent="0.3">
      <c r="A92" s="2" t="str">
        <f>IF(IT名單!$A90="","",IT名單!$A90)</f>
        <v>資訊專案計劃室</v>
      </c>
      <c r="B92" s="2" t="str">
        <f>IF(IT名單!$B90="","",IT名單!$B90)</f>
        <v>資訊專案計劃室</v>
      </c>
      <c r="C92" s="16" t="str">
        <f>IF(IT名單!$C90="","",IT名單!$C90)</f>
        <v>IEC910097</v>
      </c>
      <c r="D92" s="18" t="str">
        <f>IF(IT名單!$D90="","",IT名單!$D90)</f>
        <v>許智芳</v>
      </c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19"/>
      <c r="Y92" s="19"/>
      <c r="Z92" s="19"/>
      <c r="AA92" s="19"/>
      <c r="AB92" s="19"/>
      <c r="AC92" s="19"/>
      <c r="AD92" s="19"/>
      <c r="AE92" s="19"/>
      <c r="AF92" s="19"/>
      <c r="AG92" s="19"/>
      <c r="AH92" s="19"/>
      <c r="AI92" s="19"/>
    </row>
    <row r="93" spans="1:35" x14ac:dyDescent="0.3">
      <c r="A93" s="2" t="str">
        <f>IF(IT名單!$A91="","",IT名單!$A91)</f>
        <v>企業資訊開發二處</v>
      </c>
      <c r="B93" s="2" t="str">
        <f>IF(IT名單!$B91="","",IT名單!$B91)</f>
        <v>企業資訊開發二處</v>
      </c>
      <c r="C93" s="16" t="str">
        <f>IF(IT名單!$C91="","",IT名單!$C91)</f>
        <v>IEC920431</v>
      </c>
      <c r="D93" s="18" t="str">
        <f>IF(IT名單!$D91="","",IT名單!$D91)</f>
        <v>楊士興</v>
      </c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  <c r="Q93" s="19"/>
      <c r="R93" s="19"/>
      <c r="S93" s="19"/>
      <c r="T93" s="19"/>
      <c r="U93" s="19"/>
      <c r="V93" s="19"/>
      <c r="W93" s="19"/>
      <c r="X93" s="19"/>
      <c r="Y93" s="19"/>
      <c r="Z93" s="19"/>
      <c r="AA93" s="19"/>
      <c r="AB93" s="19"/>
      <c r="AC93" s="19"/>
      <c r="AD93" s="19"/>
      <c r="AE93" s="19"/>
      <c r="AF93" s="19"/>
      <c r="AG93" s="19"/>
      <c r="AH93" s="19"/>
      <c r="AI93" s="19"/>
    </row>
    <row r="94" spans="1:35" x14ac:dyDescent="0.3">
      <c r="A94" s="2" t="str">
        <f>IF(IT名單!$A92="","",IT名單!$A92)</f>
        <v>企業資訊開發二處</v>
      </c>
      <c r="B94" s="2" t="str">
        <f>IF(IT名單!$B92="","",IT名單!$B92)</f>
        <v>企業資訊開發二處</v>
      </c>
      <c r="C94" s="16" t="str">
        <f>IF(IT名單!$C92="","",IT名單!$C92)</f>
        <v>IEC870653</v>
      </c>
      <c r="D94" s="18" t="str">
        <f>IF(IT名單!$D92="","",IT名單!$D92)</f>
        <v>龔志鴻</v>
      </c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  <c r="W94" s="19"/>
      <c r="X94" s="19"/>
      <c r="Y94" s="19"/>
      <c r="Z94" s="19"/>
      <c r="AA94" s="19"/>
      <c r="AB94" s="19"/>
      <c r="AC94" s="19"/>
      <c r="AD94" s="19"/>
      <c r="AE94" s="19"/>
      <c r="AF94" s="19"/>
      <c r="AG94" s="19"/>
      <c r="AH94" s="19"/>
      <c r="AI94" s="19"/>
    </row>
    <row r="95" spans="1:35" x14ac:dyDescent="0.3">
      <c r="A95" s="2" t="str">
        <f>IF(IT名單!$A93="","",IT名單!$A93)</f>
        <v>企業資訊開發一部</v>
      </c>
      <c r="B95" s="2" t="str">
        <f>IF(IT名單!$B93="","",IT名單!$B93)</f>
        <v>企業資訊開發一部</v>
      </c>
      <c r="C95" s="16" t="str">
        <f>IF(IT名單!$C93="","",IT名單!$C93)</f>
        <v>IEC980248</v>
      </c>
      <c r="D95" s="18" t="str">
        <f>IF(IT名單!$D93="","",IT名單!$D93)</f>
        <v>楊民湘</v>
      </c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  <c r="Q95" s="19"/>
      <c r="R95" s="19"/>
      <c r="S95" s="19"/>
      <c r="T95" s="19"/>
      <c r="U95" s="19"/>
      <c r="V95" s="19"/>
      <c r="W95" s="19"/>
      <c r="X95" s="19"/>
      <c r="Y95" s="19"/>
      <c r="Z95" s="19"/>
      <c r="AA95" s="19"/>
      <c r="AB95" s="19"/>
      <c r="AC95" s="19"/>
      <c r="AD95" s="19"/>
      <c r="AE95" s="19"/>
      <c r="AF95" s="19"/>
      <c r="AG95" s="19"/>
      <c r="AH95" s="19"/>
      <c r="AI95" s="19"/>
    </row>
    <row r="96" spans="1:35" x14ac:dyDescent="0.3">
      <c r="A96" s="2" t="str">
        <f>IF(IT名單!$A94="","",IT名單!$A94)</f>
        <v>企業資訊開發一部</v>
      </c>
      <c r="B96" s="2" t="str">
        <f>IF(IT名單!$B94="","",IT名單!$B94)</f>
        <v>企業資訊開發一部</v>
      </c>
      <c r="C96" s="16" t="str">
        <f>IF(IT名單!$C94="","",IT名單!$C94)</f>
        <v>IEC091088</v>
      </c>
      <c r="D96" s="18" t="str">
        <f>IF(IT名單!$D94="","",IT名單!$D94)</f>
        <v>趙美晏</v>
      </c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9"/>
      <c r="U96" s="19"/>
      <c r="V96" s="19"/>
      <c r="W96" s="19"/>
      <c r="X96" s="19"/>
      <c r="Y96" s="19"/>
      <c r="Z96" s="19"/>
      <c r="AA96" s="19"/>
      <c r="AB96" s="19"/>
      <c r="AC96" s="19"/>
      <c r="AD96" s="19"/>
      <c r="AE96" s="19"/>
      <c r="AF96" s="19"/>
      <c r="AG96" s="19"/>
      <c r="AH96" s="19"/>
      <c r="AI96" s="19"/>
    </row>
    <row r="97" spans="1:35" x14ac:dyDescent="0.3">
      <c r="A97" s="2" t="str">
        <f>IF(IT名單!$A95="","",IT名單!$A95)</f>
        <v>企業資訊開發一部</v>
      </c>
      <c r="B97" s="2" t="str">
        <f>IF(IT名單!$B95="","",IT名單!$B95)</f>
        <v>企業資訊開發一部</v>
      </c>
      <c r="C97" s="16" t="str">
        <f>IF(IT名單!$C95="","",IT名單!$C95)</f>
        <v>IEC100467</v>
      </c>
      <c r="D97" s="18" t="str">
        <f>IF(IT名單!$D95="","",IT名單!$D95)</f>
        <v>莊晴如</v>
      </c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/>
      <c r="T97" s="19"/>
      <c r="U97" s="19"/>
      <c r="V97" s="19"/>
      <c r="W97" s="19"/>
      <c r="X97" s="19"/>
      <c r="Y97" s="19"/>
      <c r="Z97" s="19"/>
      <c r="AA97" s="19"/>
      <c r="AB97" s="19"/>
      <c r="AC97" s="19"/>
      <c r="AD97" s="19"/>
      <c r="AE97" s="19"/>
      <c r="AF97" s="19"/>
      <c r="AG97" s="19"/>
      <c r="AH97" s="19"/>
      <c r="AI97" s="19"/>
    </row>
    <row r="98" spans="1:35" x14ac:dyDescent="0.3">
      <c r="A98" s="2" t="str">
        <f>IF(IT名單!$A96="","",IT名單!$A96)</f>
        <v>企業資訊開發一部</v>
      </c>
      <c r="B98" s="2" t="str">
        <f>IF(IT名單!$B96="","",IT名單!$B96)</f>
        <v>企業資訊開發一部</v>
      </c>
      <c r="C98" s="16" t="str">
        <f>IF(IT名單!$C96="","",IT名單!$C96)</f>
        <v>IEC100672</v>
      </c>
      <c r="D98" s="18" t="str">
        <f>IF(IT名單!$D96="","",IT名單!$D96)</f>
        <v>陳睿汯</v>
      </c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  <c r="Z98" s="19"/>
      <c r="AA98" s="19"/>
      <c r="AB98" s="19"/>
      <c r="AC98" s="19"/>
      <c r="AD98" s="19"/>
      <c r="AE98" s="19"/>
      <c r="AF98" s="19"/>
      <c r="AG98" s="19"/>
      <c r="AH98" s="19"/>
      <c r="AI98" s="19"/>
    </row>
    <row r="99" spans="1:35" x14ac:dyDescent="0.3">
      <c r="A99" s="2" t="str">
        <f>IF(IT名單!$A97="","",IT名單!$A97)</f>
        <v>企業資訊開發一部</v>
      </c>
      <c r="B99" s="2" t="str">
        <f>IF(IT名單!$B97="","",IT名單!$B97)</f>
        <v>企業資訊開發一部</v>
      </c>
      <c r="C99" s="16" t="str">
        <f>IF(IT名單!$C97="","",IT名單!$C97)</f>
        <v>IEC110748</v>
      </c>
      <c r="D99" s="18" t="str">
        <f>IF(IT名單!$D97="","",IT名單!$D97)</f>
        <v>盧佳榕</v>
      </c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19"/>
      <c r="Q99" s="19"/>
      <c r="R99" s="19"/>
      <c r="S99" s="19"/>
      <c r="T99" s="19"/>
      <c r="U99" s="19"/>
      <c r="V99" s="19"/>
      <c r="W99" s="19"/>
      <c r="X99" s="19"/>
      <c r="Y99" s="19"/>
      <c r="Z99" s="19"/>
      <c r="AA99" s="19"/>
      <c r="AB99" s="19"/>
      <c r="AC99" s="19"/>
      <c r="AD99" s="19"/>
      <c r="AE99" s="19"/>
      <c r="AF99" s="19"/>
      <c r="AG99" s="19"/>
      <c r="AH99" s="19"/>
      <c r="AI99" s="19"/>
    </row>
    <row r="100" spans="1:35" x14ac:dyDescent="0.3">
      <c r="A100" s="2" t="str">
        <f>IF(IT名單!$A98="","",IT名單!$A98)</f>
        <v>企業資訊開發一部</v>
      </c>
      <c r="B100" s="2" t="str">
        <f>IF(IT名單!$B98="","",IT名單!$B98)</f>
        <v>企業資訊開發一部</v>
      </c>
      <c r="C100" s="16" t="str">
        <f>IF(IT名單!$C98="","",IT名單!$C98)</f>
        <v>IEC120193</v>
      </c>
      <c r="D100" s="18" t="str">
        <f>IF(IT名單!$D98="","",IT名單!$D98)</f>
        <v>黃振倫</v>
      </c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  <c r="P100" s="19"/>
      <c r="Q100" s="19"/>
      <c r="R100" s="19"/>
      <c r="S100" s="19"/>
      <c r="T100" s="19"/>
      <c r="U100" s="19"/>
      <c r="V100" s="19"/>
      <c r="W100" s="19"/>
      <c r="X100" s="19"/>
      <c r="Y100" s="19"/>
      <c r="Z100" s="19"/>
      <c r="AA100" s="19"/>
      <c r="AB100" s="19"/>
      <c r="AC100" s="19"/>
      <c r="AD100" s="19"/>
      <c r="AE100" s="19"/>
      <c r="AF100" s="19"/>
      <c r="AG100" s="19"/>
      <c r="AH100" s="19"/>
      <c r="AI100" s="19"/>
    </row>
    <row r="101" spans="1:35" x14ac:dyDescent="0.3">
      <c r="A101" s="2" t="str">
        <f>IF(IT名單!$A99="","",IT名單!$A99)</f>
        <v>企業資訊開發一部</v>
      </c>
      <c r="B101" s="2" t="str">
        <f>IF(IT名單!$B99="","",IT名單!$B99)</f>
        <v>企業資訊開發一部</v>
      </c>
      <c r="C101" s="16" t="str">
        <f>IF(IT名單!$C99="","",IT名單!$C99)</f>
        <v>IEC120194</v>
      </c>
      <c r="D101" s="18" t="str">
        <f>IF(IT名單!$D99="","",IT名單!$D99)</f>
        <v>陳昀靖</v>
      </c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</row>
    <row r="102" spans="1:35" x14ac:dyDescent="0.3">
      <c r="A102" s="2" t="str">
        <f>IF(IT名單!$A100="","",IT名單!$A100)</f>
        <v>企業資訊開發一部</v>
      </c>
      <c r="B102" s="2" t="str">
        <f>IF(IT名單!$B100="","",IT名單!$B100)</f>
        <v>企業資訊開發一部</v>
      </c>
      <c r="C102" s="16" t="str">
        <f>IF(IT名單!$C100="","",IT名單!$C100)</f>
        <v>IEC120661</v>
      </c>
      <c r="D102" s="18" t="str">
        <f>IF(IT名單!$D100="","",IT名單!$D100)</f>
        <v>林芷如</v>
      </c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</row>
    <row r="103" spans="1:35" x14ac:dyDescent="0.3">
      <c r="A103" s="2" t="str">
        <f>IF(IT名單!$A101="","",IT名單!$A101)</f>
        <v>企業資訊開發一部</v>
      </c>
      <c r="B103" s="2" t="str">
        <f>IF(IT名單!$B101="","",IT名單!$B101)</f>
        <v>企業資訊開發一部</v>
      </c>
      <c r="C103" s="16" t="str">
        <f>IF(IT名單!$C101="","",IT名單!$C101)</f>
        <v>IEC870444</v>
      </c>
      <c r="D103" s="18" t="str">
        <f>IF(IT名單!$D101="","",IT名單!$D101)</f>
        <v>曾麗青</v>
      </c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</row>
    <row r="104" spans="1:35" x14ac:dyDescent="0.3">
      <c r="A104" s="2" t="str">
        <f>IF(IT名單!$A102="","",IT名單!$A102)</f>
        <v>企業資訊開發一部</v>
      </c>
      <c r="B104" s="2" t="str">
        <f>IF(IT名單!$B102="","",IT名單!$B102)</f>
        <v>企業資訊開發一部</v>
      </c>
      <c r="C104" s="16" t="str">
        <f>IF(IT名單!$C102="","",IT名單!$C102)</f>
        <v>IEC880003</v>
      </c>
      <c r="D104" s="18" t="str">
        <f>IF(IT名單!$D102="","",IT名單!$D102)</f>
        <v>林美芸</v>
      </c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</row>
    <row r="105" spans="1:35" x14ac:dyDescent="0.3">
      <c r="A105" s="2" t="str">
        <f>IF(IT名單!$A103="","",IT名單!$A103)</f>
        <v>企業資訊開發一部</v>
      </c>
      <c r="B105" s="2" t="str">
        <f>IF(IT名單!$B103="","",IT名單!$B103)</f>
        <v>企業資訊開發一部</v>
      </c>
      <c r="C105" s="16" t="str">
        <f>IF(IT名單!$C103="","",IT名單!$C103)</f>
        <v>IEC910148</v>
      </c>
      <c r="D105" s="18" t="str">
        <f>IF(IT名單!$D103="","",IT名單!$D103)</f>
        <v>黃禎文</v>
      </c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</row>
    <row r="106" spans="1:35" x14ac:dyDescent="0.3">
      <c r="A106" s="2" t="str">
        <f>IF(IT名單!$A104="","",IT名單!$A104)</f>
        <v>企業資訊開發一部</v>
      </c>
      <c r="B106" s="2" t="str">
        <f>IF(IT名單!$B104="","",IT名單!$B104)</f>
        <v>企業資訊開發一部</v>
      </c>
      <c r="C106" s="16" t="str">
        <f>IF(IT名單!$C104="","",IT名單!$C104)</f>
        <v>IEC950587</v>
      </c>
      <c r="D106" s="18" t="str">
        <f>IF(IT名單!$D104="","",IT名單!$D104)</f>
        <v>王麗卿</v>
      </c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</row>
    <row r="107" spans="1:35" x14ac:dyDescent="0.3">
      <c r="A107" s="2" t="str">
        <f>IF(IT名單!$A105="","",IT名單!$A105)</f>
        <v>企業資訊開發一部</v>
      </c>
      <c r="B107" s="2" t="str">
        <f>IF(IT名單!$B105="","",IT名單!$B105)</f>
        <v>企業資訊開發一部</v>
      </c>
      <c r="C107" s="16" t="str">
        <f>IF(IT名單!$C105="","",IT名單!$C105)</f>
        <v>IEC960797</v>
      </c>
      <c r="D107" s="18" t="str">
        <f>IF(IT名單!$D105="","",IT名單!$D105)</f>
        <v>徐韻雯</v>
      </c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</row>
    <row r="108" spans="1:35" x14ac:dyDescent="0.3">
      <c r="A108" s="2" t="str">
        <f>IF(IT名單!$A106="","",IT名單!$A106)</f>
        <v>企業資訊開發一部</v>
      </c>
      <c r="B108" s="2" t="str">
        <f>IF(IT名單!$B106="","",IT名單!$B106)</f>
        <v>企業資訊開發一部</v>
      </c>
      <c r="C108" s="16" t="str">
        <f>IF(IT名單!$C106="","",IT名單!$C106)</f>
        <v>IEC960845</v>
      </c>
      <c r="D108" s="18" t="str">
        <f>IF(IT名單!$D106="","",IT名單!$D106)</f>
        <v>黃信諭</v>
      </c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</row>
    <row r="109" spans="1:35" x14ac:dyDescent="0.3">
      <c r="A109" s="2" t="str">
        <f>IF(IT名單!$A107="","",IT名單!$A107)</f>
        <v>企業資訊開發一部</v>
      </c>
      <c r="B109" s="2" t="str">
        <f>IF(IT名單!$B107="","",IT名單!$B107)</f>
        <v>企業資訊開發一部</v>
      </c>
      <c r="C109" s="16" t="str">
        <f>IF(IT名單!$C107="","",IT名單!$C107)</f>
        <v>IEC971001</v>
      </c>
      <c r="D109" s="18" t="str">
        <f>IF(IT名單!$D107="","",IT名單!$D107)</f>
        <v>俞國華</v>
      </c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</row>
    <row r="110" spans="1:35" x14ac:dyDescent="0.3">
      <c r="A110" s="2" t="str">
        <f>IF(IT名單!$A108="","",IT名單!$A108)</f>
        <v>企業資訊開發一部</v>
      </c>
      <c r="B110" s="2" t="str">
        <f>IF(IT名單!$B108="","",IT名單!$B108)</f>
        <v>企業資訊開發一部</v>
      </c>
      <c r="C110" s="16" t="str">
        <f>IF(IT名單!$C108="","",IT名單!$C108)</f>
        <v>IEC070430</v>
      </c>
      <c r="D110" s="18" t="str">
        <f>IF(IT名單!$D108="","",IT名單!$D108)</f>
        <v>黃軍豪</v>
      </c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</row>
    <row r="111" spans="1:35" x14ac:dyDescent="0.3">
      <c r="A111" s="2" t="str">
        <f>IF(IT名單!$A109="","",IT名單!$A109)</f>
        <v>企業資訊開發二部</v>
      </c>
      <c r="B111" s="2" t="str">
        <f>IF(IT名單!$B109="","",IT名單!$B109)</f>
        <v>企業資訊開發二部</v>
      </c>
      <c r="C111" s="16" t="str">
        <f>IF(IT名單!$C109="","",IT名單!$C109)</f>
        <v>IEC080082</v>
      </c>
      <c r="D111" s="18" t="str">
        <f>IF(IT名單!$D109="","",IT名單!$D109)</f>
        <v>陳柏榮</v>
      </c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</row>
    <row r="112" spans="1:35" x14ac:dyDescent="0.3">
      <c r="A112" s="2" t="str">
        <f>IF(IT名單!$A110="","",IT名單!$A110)</f>
        <v>企業資訊開發二部</v>
      </c>
      <c r="B112" s="2" t="str">
        <f>IF(IT名單!$B110="","",IT名單!$B110)</f>
        <v>企業資訊開發二部</v>
      </c>
      <c r="C112" s="16" t="str">
        <f>IF(IT名單!$C110="","",IT名單!$C110)</f>
        <v>IEC000462</v>
      </c>
      <c r="D112" s="18" t="str">
        <f>IF(IT名單!$D110="","",IT名單!$D110)</f>
        <v>黃國豐</v>
      </c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</row>
    <row r="113" spans="1:35" x14ac:dyDescent="0.3">
      <c r="A113" s="2" t="str">
        <f>IF(IT名單!$A111="","",IT名單!$A111)</f>
        <v>企業資訊開發二部</v>
      </c>
      <c r="B113" s="2" t="str">
        <f>IF(IT名單!$B111="","",IT名單!$B111)</f>
        <v>企業資訊開發二部</v>
      </c>
      <c r="C113" s="16" t="str">
        <f>IF(IT名單!$C111="","",IT名單!$C111)</f>
        <v>IEC010047</v>
      </c>
      <c r="D113" s="18" t="str">
        <f>IF(IT名單!$D111="","",IT名單!$D111)</f>
        <v>林炳樑</v>
      </c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  <c r="AI113" s="19"/>
    </row>
    <row r="114" spans="1:35" x14ac:dyDescent="0.3">
      <c r="A114" s="2" t="str">
        <f>IF(IT名單!$A112="","",IT名單!$A112)</f>
        <v>企業資訊開發二部</v>
      </c>
      <c r="B114" s="2" t="str">
        <f>IF(IT名單!$B112="","",IT名單!$B112)</f>
        <v>企業資訊開發二部</v>
      </c>
      <c r="C114" s="16" t="str">
        <f>IF(IT名單!$C112="","",IT名單!$C112)</f>
        <v>IEC020376</v>
      </c>
      <c r="D114" s="18" t="str">
        <f>IF(IT名單!$D112="","",IT名單!$D112)</f>
        <v>施宇涵</v>
      </c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</row>
    <row r="115" spans="1:35" x14ac:dyDescent="0.3">
      <c r="A115" s="2" t="str">
        <f>IF(IT名單!$A113="","",IT名單!$A113)</f>
        <v>企業資訊開發二部</v>
      </c>
      <c r="B115" s="2" t="str">
        <f>IF(IT名單!$B113="","",IT名單!$B113)</f>
        <v>企業資訊開發二部</v>
      </c>
      <c r="C115" s="16" t="str">
        <f>IF(IT名單!$C113="","",IT名單!$C113)</f>
        <v>IEC120015</v>
      </c>
      <c r="D115" s="18" t="str">
        <f>IF(IT名單!$D113="","",IT名單!$D113)</f>
        <v>古崇志</v>
      </c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</row>
    <row r="116" spans="1:35" x14ac:dyDescent="0.3">
      <c r="A116" s="2" t="str">
        <f>IF(IT名單!$A114="","",IT名單!$A114)</f>
        <v>企業資訊開發二部</v>
      </c>
      <c r="B116" s="2" t="str">
        <f>IF(IT名單!$B114="","",IT名單!$B114)</f>
        <v>企業資訊開發二部</v>
      </c>
      <c r="C116" s="16" t="str">
        <f>IF(IT名單!$C114="","",IT名單!$C114)</f>
        <v>IEC100278</v>
      </c>
      <c r="D116" s="18" t="str">
        <f>IF(IT名單!$D114="","",IT名單!$D114)</f>
        <v>林穎彥</v>
      </c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19"/>
      <c r="P116" s="19"/>
      <c r="Q116" s="19"/>
      <c r="R116" s="19"/>
      <c r="S116" s="19"/>
      <c r="T116" s="19"/>
      <c r="U116" s="19"/>
      <c r="V116" s="19"/>
      <c r="W116" s="19"/>
      <c r="X116" s="19"/>
      <c r="Y116" s="19"/>
      <c r="Z116" s="19"/>
      <c r="AA116" s="19"/>
      <c r="AB116" s="19"/>
      <c r="AC116" s="19"/>
      <c r="AD116" s="19"/>
      <c r="AE116" s="19"/>
      <c r="AF116" s="19"/>
      <c r="AG116" s="19"/>
      <c r="AH116" s="19"/>
      <c r="AI116" s="19"/>
    </row>
    <row r="117" spans="1:35" x14ac:dyDescent="0.3">
      <c r="A117" s="2" t="str">
        <f>IF(IT名單!$A115="","",IT名單!$A115)</f>
        <v>系統營運管理部</v>
      </c>
      <c r="B117" s="2" t="str">
        <f>IF(IT名單!$B115="","",IT名單!$B115)</f>
        <v>系統營運管理部</v>
      </c>
      <c r="C117" s="16" t="str">
        <f>IF(IT名單!$C115="","",IT名單!$C115)</f>
        <v>IEC960721</v>
      </c>
      <c r="D117" s="18" t="str">
        <f>IF(IT名單!$D115="","",IT名單!$D115)</f>
        <v>林嘉麒</v>
      </c>
      <c r="E117" s="19"/>
      <c r="F117" s="19"/>
      <c r="G117" s="19"/>
      <c r="H117" s="19"/>
      <c r="I117" s="19"/>
      <c r="J117" s="19"/>
      <c r="K117" s="19"/>
      <c r="L117" s="19"/>
      <c r="M117" s="19"/>
      <c r="N117" s="19"/>
      <c r="O117" s="19"/>
      <c r="P117" s="19"/>
      <c r="Q117" s="19"/>
      <c r="R117" s="19"/>
      <c r="S117" s="19"/>
      <c r="T117" s="19"/>
      <c r="U117" s="19"/>
      <c r="V117" s="19"/>
      <c r="W117" s="19"/>
      <c r="X117" s="19"/>
      <c r="Y117" s="19"/>
      <c r="Z117" s="19"/>
      <c r="AA117" s="19"/>
      <c r="AB117" s="19"/>
      <c r="AC117" s="19"/>
      <c r="AD117" s="19"/>
      <c r="AE117" s="19"/>
      <c r="AF117" s="19"/>
      <c r="AG117" s="19"/>
      <c r="AH117" s="19"/>
      <c r="AI117" s="19"/>
    </row>
    <row r="118" spans="1:35" x14ac:dyDescent="0.3">
      <c r="A118" s="2" t="str">
        <f>IF(IT名單!$A116="","",IT名單!$A116)</f>
        <v>系統營運管理部</v>
      </c>
      <c r="B118" s="2" t="str">
        <f>IF(IT名單!$B116="","",IT名單!$B116)</f>
        <v>系統營運管理部</v>
      </c>
      <c r="C118" s="16" t="str">
        <f>IF(IT名單!$C116="","",IT名單!$C116)</f>
        <v>IEC050281</v>
      </c>
      <c r="D118" s="18" t="str">
        <f>IF(IT名單!$D116="","",IT名單!$D116)</f>
        <v>黃韻芳</v>
      </c>
      <c r="E118" s="19"/>
      <c r="F118" s="19"/>
      <c r="G118" s="19"/>
      <c r="H118" s="19"/>
      <c r="I118" s="19"/>
      <c r="J118" s="19"/>
      <c r="K118" s="19"/>
      <c r="L118" s="19"/>
      <c r="M118" s="19"/>
      <c r="N118" s="19"/>
      <c r="O118" s="19"/>
      <c r="P118" s="19"/>
      <c r="Q118" s="19"/>
      <c r="R118" s="19"/>
      <c r="S118" s="19"/>
      <c r="T118" s="19"/>
      <c r="U118" s="19"/>
      <c r="V118" s="19"/>
      <c r="W118" s="19"/>
      <c r="X118" s="19"/>
      <c r="Y118" s="19"/>
      <c r="Z118" s="19"/>
      <c r="AA118" s="19"/>
      <c r="AB118" s="19"/>
      <c r="AC118" s="19"/>
      <c r="AD118" s="19"/>
      <c r="AE118" s="19"/>
      <c r="AF118" s="19"/>
      <c r="AG118" s="19"/>
      <c r="AH118" s="19"/>
      <c r="AI118" s="19"/>
    </row>
    <row r="119" spans="1:35" x14ac:dyDescent="0.3">
      <c r="A119" s="2" t="str">
        <f>IF(IT名單!$A117="","",IT名單!$A117)</f>
        <v>系統營運管理部</v>
      </c>
      <c r="B119" s="2" t="str">
        <f>IF(IT名單!$B117="","",IT名單!$B117)</f>
        <v>系統營運管理部</v>
      </c>
      <c r="C119" s="16" t="str">
        <f>IF(IT名單!$C117="","",IT名單!$C117)</f>
        <v>IEC080057</v>
      </c>
      <c r="D119" s="18" t="str">
        <f>IF(IT名單!$D117="","",IT名單!$D117)</f>
        <v>林榆虹</v>
      </c>
      <c r="E119" s="19"/>
      <c r="F119" s="19"/>
      <c r="G119" s="19"/>
      <c r="H119" s="19"/>
      <c r="I119" s="19"/>
      <c r="J119" s="19"/>
      <c r="K119" s="19"/>
      <c r="L119" s="19"/>
      <c r="M119" s="19"/>
      <c r="N119" s="19"/>
      <c r="O119" s="19"/>
      <c r="P119" s="19"/>
      <c r="Q119" s="19"/>
      <c r="R119" s="19"/>
      <c r="S119" s="19"/>
      <c r="T119" s="19"/>
      <c r="U119" s="19"/>
      <c r="V119" s="19"/>
      <c r="W119" s="19"/>
      <c r="X119" s="19"/>
      <c r="Y119" s="19"/>
      <c r="Z119" s="19"/>
      <c r="AA119" s="19"/>
      <c r="AB119" s="19"/>
      <c r="AC119" s="19"/>
      <c r="AD119" s="19"/>
      <c r="AE119" s="19"/>
      <c r="AF119" s="19"/>
      <c r="AG119" s="19"/>
      <c r="AH119" s="19"/>
      <c r="AI119" s="19"/>
    </row>
    <row r="120" spans="1:35" x14ac:dyDescent="0.3">
      <c r="A120" s="2" t="str">
        <f>IF(IT名單!$A118="","",IT名單!$A118)</f>
        <v>系統營運管理部</v>
      </c>
      <c r="B120" s="2" t="str">
        <f>IF(IT名單!$B118="","",IT名單!$B118)</f>
        <v>系統營運管理部</v>
      </c>
      <c r="C120" s="16" t="str">
        <f>IF(IT名單!$C118="","",IT名單!$C118)</f>
        <v>IEC090405</v>
      </c>
      <c r="D120" s="18" t="str">
        <f>IF(IT名單!$D118="","",IT名單!$D118)</f>
        <v>謝祥昱</v>
      </c>
      <c r="E120" s="19"/>
      <c r="F120" s="19"/>
      <c r="G120" s="19"/>
      <c r="H120" s="19"/>
      <c r="I120" s="19"/>
      <c r="J120" s="19"/>
      <c r="K120" s="19"/>
      <c r="L120" s="19"/>
      <c r="M120" s="19"/>
      <c r="N120" s="19"/>
      <c r="O120" s="19"/>
      <c r="P120" s="19"/>
      <c r="Q120" s="19"/>
      <c r="R120" s="19"/>
      <c r="S120" s="19"/>
      <c r="T120" s="19"/>
      <c r="U120" s="19"/>
      <c r="V120" s="19"/>
      <c r="W120" s="19"/>
      <c r="X120" s="19"/>
      <c r="Y120" s="19"/>
      <c r="Z120" s="19"/>
      <c r="AA120" s="19"/>
      <c r="AB120" s="19"/>
      <c r="AC120" s="19"/>
      <c r="AD120" s="19"/>
      <c r="AE120" s="19"/>
      <c r="AF120" s="19"/>
      <c r="AG120" s="19"/>
      <c r="AH120" s="19"/>
      <c r="AI120" s="19"/>
    </row>
    <row r="121" spans="1:35" x14ac:dyDescent="0.3">
      <c r="A121" s="2" t="str">
        <f>IF(IT名單!$A119="","",IT名單!$A119)</f>
        <v>系統營運管理部</v>
      </c>
      <c r="B121" s="2" t="str">
        <f>IF(IT名單!$B119="","",IT名單!$B119)</f>
        <v>系統營運管理部</v>
      </c>
      <c r="C121" s="16" t="str">
        <f>IF(IT名單!$C119="","",IT名單!$C119)</f>
        <v>IEC870561</v>
      </c>
      <c r="D121" s="18" t="str">
        <f>IF(IT名單!$D119="","",IT名單!$D119)</f>
        <v>劉芊嶠</v>
      </c>
      <c r="E121" s="19"/>
      <c r="F121" s="19"/>
      <c r="G121" s="19"/>
      <c r="H121" s="19"/>
      <c r="I121" s="19"/>
      <c r="J121" s="19"/>
      <c r="K121" s="19"/>
      <c r="L121" s="19"/>
      <c r="M121" s="19"/>
      <c r="N121" s="19"/>
      <c r="O121" s="19"/>
      <c r="P121" s="19"/>
      <c r="Q121" s="19"/>
      <c r="R121" s="19"/>
      <c r="S121" s="19"/>
      <c r="T121" s="19"/>
      <c r="U121" s="19"/>
      <c r="V121" s="19"/>
      <c r="W121" s="19"/>
      <c r="X121" s="19"/>
      <c r="Y121" s="19"/>
      <c r="Z121" s="19"/>
      <c r="AA121" s="19"/>
      <c r="AB121" s="19"/>
      <c r="AC121" s="19"/>
      <c r="AD121" s="19"/>
      <c r="AE121" s="19"/>
      <c r="AF121" s="19"/>
      <c r="AG121" s="19"/>
      <c r="AH121" s="19"/>
      <c r="AI121" s="19"/>
    </row>
    <row r="122" spans="1:35" x14ac:dyDescent="0.3">
      <c r="A122" s="2" t="str">
        <f>IF(IT名單!$A120="","",IT名單!$A120)</f>
        <v>系統營運管理部</v>
      </c>
      <c r="B122" s="2" t="str">
        <f>IF(IT名單!$B120="","",IT名單!$B120)</f>
        <v>系統營運管理部</v>
      </c>
      <c r="C122" s="16" t="str">
        <f>IF(IT名單!$C120="","",IT名單!$C120)</f>
        <v>IEC939220</v>
      </c>
      <c r="D122" s="18" t="str">
        <f>IF(IT名單!$D120="","",IT名單!$D120)</f>
        <v>梁雪雲</v>
      </c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19"/>
      <c r="P122" s="19"/>
      <c r="Q122" s="19"/>
      <c r="R122" s="19"/>
      <c r="S122" s="19"/>
      <c r="T122" s="19"/>
      <c r="U122" s="19"/>
      <c r="V122" s="19"/>
      <c r="W122" s="19"/>
      <c r="X122" s="19"/>
      <c r="Y122" s="19"/>
      <c r="Z122" s="19"/>
      <c r="AA122" s="19"/>
      <c r="AB122" s="19"/>
      <c r="AC122" s="19"/>
      <c r="AD122" s="19"/>
      <c r="AE122" s="19"/>
      <c r="AF122" s="19"/>
      <c r="AG122" s="19"/>
      <c r="AH122" s="19"/>
      <c r="AI122" s="19"/>
    </row>
    <row r="123" spans="1:35" x14ac:dyDescent="0.3">
      <c r="A123" s="2" t="str">
        <f>IF(IT名單!$A121="","",IT名單!$A121)</f>
        <v>系統營運管理部</v>
      </c>
      <c r="B123" s="2" t="str">
        <f>IF(IT名單!$B121="","",IT名單!$B121)</f>
        <v>系統營運管理部</v>
      </c>
      <c r="C123" s="16" t="str">
        <f>IF(IT名單!$C121="","",IT名單!$C121)</f>
        <v>IEC959060</v>
      </c>
      <c r="D123" s="18" t="str">
        <f>IF(IT名單!$D121="","",IT名單!$D121)</f>
        <v>謝旻文</v>
      </c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9"/>
      <c r="AA123" s="19"/>
      <c r="AB123" s="19"/>
      <c r="AC123" s="19"/>
      <c r="AD123" s="19"/>
      <c r="AE123" s="19"/>
      <c r="AF123" s="19"/>
      <c r="AG123" s="19"/>
      <c r="AH123" s="19"/>
      <c r="AI123" s="19"/>
    </row>
    <row r="124" spans="1:35" x14ac:dyDescent="0.3">
      <c r="A124" s="2" t="str">
        <f>IF(IT名單!$A122="","",IT名單!$A122)</f>
        <v>系統營運管理部</v>
      </c>
      <c r="B124" s="2" t="str">
        <f>IF(IT名單!$B122="","",IT名單!$B122)</f>
        <v>系統營運管理部</v>
      </c>
      <c r="C124" s="16" t="str">
        <f>IF(IT名單!$C122="","",IT名單!$C122)</f>
        <v>IEC960449</v>
      </c>
      <c r="D124" s="18" t="str">
        <f>IF(IT名單!$D122="","",IT名單!$D122)</f>
        <v>曾于珊</v>
      </c>
      <c r="E124" s="19"/>
      <c r="F124" s="19"/>
      <c r="G124" s="19"/>
      <c r="H124" s="19"/>
      <c r="I124" s="19"/>
      <c r="J124" s="19"/>
      <c r="K124" s="19"/>
      <c r="L124" s="19"/>
      <c r="M124" s="19"/>
      <c r="N124" s="19"/>
      <c r="O124" s="19"/>
      <c r="P124" s="19"/>
      <c r="Q124" s="19"/>
      <c r="R124" s="19"/>
      <c r="S124" s="19"/>
      <c r="T124" s="19"/>
      <c r="U124" s="19"/>
      <c r="V124" s="19"/>
      <c r="W124" s="19"/>
      <c r="X124" s="19"/>
      <c r="Y124" s="19"/>
      <c r="Z124" s="19"/>
      <c r="AA124" s="19"/>
      <c r="AB124" s="19"/>
      <c r="AC124" s="19"/>
      <c r="AD124" s="19"/>
      <c r="AE124" s="19"/>
      <c r="AF124" s="19"/>
      <c r="AG124" s="19"/>
      <c r="AH124" s="19"/>
      <c r="AI124" s="19"/>
    </row>
    <row r="125" spans="1:35" x14ac:dyDescent="0.3">
      <c r="A125" s="2" t="str">
        <f>IF(IT名單!$A123="","",IT名單!$A123)</f>
        <v>物料管理開發部</v>
      </c>
      <c r="B125" s="2" t="str">
        <f>IF(IT名單!$B123="","",IT名單!$B123)</f>
        <v>物料管理開發部</v>
      </c>
      <c r="C125" s="16" t="str">
        <f>IF(IT名單!$C123="","",IT名單!$C123)</f>
        <v>IEC030190</v>
      </c>
      <c r="D125" s="18" t="str">
        <f>IF(IT名單!$D123="","",IT名單!$D123)</f>
        <v>林鈺淵</v>
      </c>
      <c r="E125" s="19"/>
      <c r="F125" s="19"/>
      <c r="G125" s="19"/>
      <c r="H125" s="19"/>
      <c r="I125" s="19"/>
      <c r="J125" s="19"/>
      <c r="K125" s="19"/>
      <c r="L125" s="19"/>
      <c r="M125" s="19"/>
      <c r="N125" s="19"/>
      <c r="O125" s="19"/>
      <c r="P125" s="19"/>
      <c r="Q125" s="19"/>
      <c r="R125" s="19"/>
      <c r="S125" s="19"/>
      <c r="T125" s="19"/>
      <c r="U125" s="19"/>
      <c r="V125" s="19"/>
      <c r="W125" s="19"/>
      <c r="X125" s="19"/>
      <c r="Y125" s="19"/>
      <c r="Z125" s="19"/>
      <c r="AA125" s="19"/>
      <c r="AB125" s="19"/>
      <c r="AC125" s="19"/>
      <c r="AD125" s="19"/>
      <c r="AE125" s="19"/>
      <c r="AF125" s="19"/>
      <c r="AG125" s="19"/>
      <c r="AH125" s="19"/>
      <c r="AI125" s="19"/>
    </row>
    <row r="126" spans="1:35" x14ac:dyDescent="0.3">
      <c r="A126" s="2" t="str">
        <f>IF(IT名單!$A124="","",IT名單!$A124)</f>
        <v>物料管理開發部</v>
      </c>
      <c r="B126" s="2" t="str">
        <f>IF(IT名單!$B124="","",IT名單!$B124)</f>
        <v>物料管理開發部</v>
      </c>
      <c r="C126" s="16" t="str">
        <f>IF(IT名單!$C124="","",IT名單!$C124)</f>
        <v>IEC020413</v>
      </c>
      <c r="D126" s="18" t="str">
        <f>IF(IT名單!$D124="","",IT名單!$D124)</f>
        <v>戴婉如</v>
      </c>
      <c r="E126" s="19"/>
      <c r="F126" s="19"/>
      <c r="G126" s="19"/>
      <c r="H126" s="19"/>
      <c r="I126" s="19"/>
      <c r="J126" s="19"/>
      <c r="K126" s="19"/>
      <c r="L126" s="19"/>
      <c r="M126" s="19"/>
      <c r="N126" s="19"/>
      <c r="O126" s="19"/>
      <c r="P126" s="19"/>
      <c r="Q126" s="19"/>
      <c r="R126" s="19"/>
      <c r="S126" s="19"/>
      <c r="T126" s="19"/>
      <c r="U126" s="19"/>
      <c r="V126" s="19"/>
      <c r="W126" s="19"/>
      <c r="X126" s="19"/>
      <c r="Y126" s="19"/>
      <c r="Z126" s="19"/>
      <c r="AA126" s="19"/>
      <c r="AB126" s="19"/>
      <c r="AC126" s="19"/>
      <c r="AD126" s="19"/>
      <c r="AE126" s="19"/>
      <c r="AF126" s="19"/>
      <c r="AG126" s="19"/>
      <c r="AH126" s="19"/>
      <c r="AI126" s="19"/>
    </row>
    <row r="127" spans="1:35" x14ac:dyDescent="0.3">
      <c r="A127" s="2" t="str">
        <f>IF(IT名單!$A125="","",IT名單!$A125)</f>
        <v>物料管理開發部</v>
      </c>
      <c r="B127" s="2" t="str">
        <f>IF(IT名單!$B125="","",IT名單!$B125)</f>
        <v>物料管理開發部</v>
      </c>
      <c r="C127" s="16" t="str">
        <f>IF(IT名單!$C125="","",IT名單!$C125)</f>
        <v>IEC070408</v>
      </c>
      <c r="D127" s="18" t="str">
        <f>IF(IT名單!$D125="","",IT名單!$D125)</f>
        <v>劉育昕</v>
      </c>
      <c r="E127" s="19"/>
      <c r="F127" s="19"/>
      <c r="G127" s="19"/>
      <c r="H127" s="19"/>
      <c r="I127" s="19"/>
      <c r="J127" s="19"/>
      <c r="K127" s="19"/>
      <c r="L127" s="19"/>
      <c r="M127" s="19"/>
      <c r="N127" s="19"/>
      <c r="O127" s="19"/>
      <c r="P127" s="19"/>
      <c r="Q127" s="19"/>
      <c r="R127" s="19"/>
      <c r="S127" s="19"/>
      <c r="T127" s="19"/>
      <c r="U127" s="19"/>
      <c r="V127" s="19"/>
      <c r="W127" s="19"/>
      <c r="X127" s="19"/>
      <c r="Y127" s="19"/>
      <c r="Z127" s="19"/>
      <c r="AA127" s="19"/>
      <c r="AB127" s="19"/>
      <c r="AC127" s="19"/>
      <c r="AD127" s="19"/>
      <c r="AE127" s="19"/>
      <c r="AF127" s="19"/>
      <c r="AG127" s="19"/>
      <c r="AH127" s="19"/>
      <c r="AI127" s="19"/>
    </row>
    <row r="128" spans="1:35" x14ac:dyDescent="0.3">
      <c r="A128" s="2" t="str">
        <f>IF(IT名單!$A126="","",IT名單!$A126)</f>
        <v>物料管理開發部</v>
      </c>
      <c r="B128" s="2" t="str">
        <f>IF(IT名單!$B126="","",IT名單!$B126)</f>
        <v>物料管理開發部</v>
      </c>
      <c r="C128" s="16" t="str">
        <f>IF(IT名單!$C126="","",IT名單!$C126)</f>
        <v>IEC110048</v>
      </c>
      <c r="D128" s="18" t="str">
        <f>IF(IT名單!$D126="","",IT名單!$D126)</f>
        <v>王慶樺</v>
      </c>
      <c r="E128" s="19"/>
      <c r="F128" s="19"/>
      <c r="G128" s="19"/>
      <c r="H128" s="19"/>
      <c r="I128" s="19"/>
      <c r="J128" s="19"/>
      <c r="K128" s="19"/>
      <c r="L128" s="19"/>
      <c r="M128" s="19"/>
      <c r="N128" s="19"/>
      <c r="O128" s="19"/>
      <c r="P128" s="19"/>
      <c r="Q128" s="19"/>
      <c r="R128" s="19"/>
      <c r="S128" s="19"/>
      <c r="T128" s="19"/>
      <c r="U128" s="19"/>
      <c r="V128" s="19"/>
      <c r="W128" s="19"/>
      <c r="X128" s="19"/>
      <c r="Y128" s="19"/>
      <c r="Z128" s="19"/>
      <c r="AA128" s="19"/>
      <c r="AB128" s="19"/>
      <c r="AC128" s="19"/>
      <c r="AD128" s="19"/>
      <c r="AE128" s="19"/>
      <c r="AF128" s="19"/>
      <c r="AG128" s="19"/>
      <c r="AH128" s="19"/>
      <c r="AI128" s="19"/>
    </row>
    <row r="129" spans="1:35" x14ac:dyDescent="0.3">
      <c r="A129" s="2" t="str">
        <f>IF(IT名單!$A127="","",IT名單!$A127)</f>
        <v>物料管理開發部</v>
      </c>
      <c r="B129" s="2" t="str">
        <f>IF(IT名單!$B127="","",IT名單!$B127)</f>
        <v>物料管理開發部</v>
      </c>
      <c r="C129" s="16" t="str">
        <f>IF(IT名單!$C127="","",IT名單!$C127)</f>
        <v>IEC110072</v>
      </c>
      <c r="D129" s="18" t="str">
        <f>IF(IT名單!$D127="","",IT名單!$D127)</f>
        <v>楊彩汝</v>
      </c>
      <c r="E129" s="19"/>
      <c r="F129" s="19"/>
      <c r="G129" s="19"/>
      <c r="H129" s="19"/>
      <c r="I129" s="19"/>
      <c r="J129" s="19"/>
      <c r="K129" s="19"/>
      <c r="L129" s="19"/>
      <c r="M129" s="19"/>
      <c r="N129" s="19"/>
      <c r="O129" s="19"/>
      <c r="P129" s="19"/>
      <c r="Q129" s="19"/>
      <c r="R129" s="19"/>
      <c r="S129" s="19"/>
      <c r="T129" s="19"/>
      <c r="U129" s="19"/>
      <c r="V129" s="19"/>
      <c r="W129" s="19"/>
      <c r="X129" s="19"/>
      <c r="Y129" s="19"/>
      <c r="Z129" s="19"/>
      <c r="AA129" s="19"/>
      <c r="AB129" s="19"/>
      <c r="AC129" s="19"/>
      <c r="AD129" s="19"/>
      <c r="AE129" s="19"/>
      <c r="AF129" s="19"/>
      <c r="AG129" s="19"/>
      <c r="AH129" s="19"/>
      <c r="AI129" s="19"/>
    </row>
    <row r="130" spans="1:35" x14ac:dyDescent="0.3">
      <c r="A130" s="2" t="str">
        <f>IF(IT名單!$A128="","",IT名單!$A128)</f>
        <v>物料管理開發部</v>
      </c>
      <c r="B130" s="2" t="str">
        <f>IF(IT名單!$B128="","",IT名單!$B128)</f>
        <v>物料管理開發部</v>
      </c>
      <c r="C130" s="16" t="str">
        <f>IF(IT名單!$C128="","",IT名單!$C128)</f>
        <v>IEC111482</v>
      </c>
      <c r="D130" s="18" t="str">
        <f>IF(IT名單!$D128="","",IT名單!$D128)</f>
        <v>黃筱筑</v>
      </c>
      <c r="E130" s="19"/>
      <c r="F130" s="19"/>
      <c r="G130" s="19"/>
      <c r="H130" s="19"/>
      <c r="I130" s="19"/>
      <c r="J130" s="19"/>
      <c r="K130" s="19"/>
      <c r="L130" s="19"/>
      <c r="M130" s="19"/>
      <c r="N130" s="19"/>
      <c r="O130" s="19"/>
      <c r="P130" s="19"/>
      <c r="Q130" s="19"/>
      <c r="R130" s="19"/>
      <c r="S130" s="19"/>
      <c r="T130" s="19"/>
      <c r="U130" s="19"/>
      <c r="V130" s="19"/>
      <c r="W130" s="19"/>
      <c r="X130" s="19"/>
      <c r="Y130" s="19"/>
      <c r="Z130" s="19"/>
      <c r="AA130" s="19"/>
      <c r="AB130" s="19"/>
      <c r="AC130" s="19"/>
      <c r="AD130" s="19"/>
      <c r="AE130" s="19"/>
      <c r="AF130" s="19"/>
      <c r="AG130" s="19"/>
      <c r="AH130" s="19"/>
      <c r="AI130" s="19"/>
    </row>
    <row r="131" spans="1:35" x14ac:dyDescent="0.3">
      <c r="A131" s="2" t="str">
        <f>IF(IT名單!$A129="","",IT名單!$A129)</f>
        <v>物料管理開發部</v>
      </c>
      <c r="B131" s="2" t="str">
        <f>IF(IT名單!$B129="","",IT名單!$B129)</f>
        <v>物料管理開發部</v>
      </c>
      <c r="C131" s="16" t="str">
        <f>IF(IT名單!$C129="","",IT名單!$C129)</f>
        <v>IEC120405</v>
      </c>
      <c r="D131" s="18" t="str">
        <f>IF(IT名單!$D129="","",IT名單!$D129)</f>
        <v>謝孟秦</v>
      </c>
      <c r="E131" s="19"/>
      <c r="F131" s="19"/>
      <c r="G131" s="19"/>
      <c r="H131" s="19"/>
      <c r="I131" s="19"/>
      <c r="J131" s="19"/>
      <c r="K131" s="19"/>
      <c r="L131" s="19"/>
      <c r="M131" s="19"/>
      <c r="N131" s="19"/>
      <c r="O131" s="19"/>
      <c r="P131" s="19"/>
      <c r="Q131" s="19"/>
      <c r="R131" s="19"/>
      <c r="S131" s="19"/>
      <c r="T131" s="19"/>
      <c r="U131" s="19"/>
      <c r="V131" s="19"/>
      <c r="W131" s="19"/>
      <c r="X131" s="19"/>
      <c r="Y131" s="19"/>
      <c r="Z131" s="19"/>
      <c r="AA131" s="19"/>
      <c r="AB131" s="19"/>
      <c r="AC131" s="19"/>
      <c r="AD131" s="19"/>
      <c r="AE131" s="19"/>
      <c r="AF131" s="19"/>
      <c r="AG131" s="19"/>
      <c r="AH131" s="19"/>
      <c r="AI131" s="19"/>
    </row>
    <row r="132" spans="1:35" x14ac:dyDescent="0.3">
      <c r="A132" s="2" t="str">
        <f>IF(IT名單!$A130="","",IT名單!$A130)</f>
        <v>物料管理開發部</v>
      </c>
      <c r="B132" s="2" t="str">
        <f>IF(IT名單!$B130="","",IT名單!$B130)</f>
        <v>物料管理開發部</v>
      </c>
      <c r="C132" s="16" t="str">
        <f>IF(IT名單!$C130="","",IT名單!$C130)</f>
        <v>IEC130086</v>
      </c>
      <c r="D132" s="18" t="str">
        <f>IF(IT名單!$D130="","",IT名單!$D130)</f>
        <v>黃世華</v>
      </c>
      <c r="E132" s="19"/>
      <c r="F132" s="19"/>
      <c r="G132" s="19"/>
      <c r="H132" s="19"/>
      <c r="I132" s="19"/>
      <c r="J132" s="19"/>
      <c r="K132" s="19"/>
      <c r="L132" s="19"/>
      <c r="M132" s="19"/>
      <c r="N132" s="19"/>
      <c r="O132" s="19"/>
      <c r="P132" s="19"/>
      <c r="Q132" s="19"/>
      <c r="R132" s="19"/>
      <c r="S132" s="19"/>
      <c r="T132" s="19"/>
      <c r="U132" s="19"/>
      <c r="V132" s="19"/>
      <c r="W132" s="19"/>
      <c r="X132" s="19"/>
      <c r="Y132" s="19"/>
      <c r="Z132" s="19"/>
      <c r="AA132" s="19"/>
      <c r="AB132" s="19"/>
      <c r="AC132" s="19"/>
      <c r="AD132" s="19"/>
      <c r="AE132" s="19"/>
      <c r="AF132" s="19"/>
      <c r="AG132" s="19"/>
      <c r="AH132" s="19"/>
      <c r="AI132" s="19"/>
    </row>
    <row r="133" spans="1:35" x14ac:dyDescent="0.3">
      <c r="A133" s="2" t="str">
        <f>IF(IT名單!$A131="","",IT名單!$A131)</f>
        <v>客戶需求開發部</v>
      </c>
      <c r="B133" s="2" t="str">
        <f>IF(IT名單!$B131="","",IT名單!$B131)</f>
        <v>客戶需求開發部</v>
      </c>
      <c r="C133" s="16" t="str">
        <f>IF(IT名單!$C131="","",IT名單!$C131)</f>
        <v>IEC880160</v>
      </c>
      <c r="D133" s="18" t="str">
        <f>IF(IT名單!$D131="","",IT名單!$D131)</f>
        <v>彭立珍</v>
      </c>
      <c r="E133" s="19"/>
      <c r="F133" s="19"/>
      <c r="G133" s="19"/>
      <c r="H133" s="19"/>
      <c r="I133" s="19"/>
      <c r="J133" s="19"/>
      <c r="K133" s="19"/>
      <c r="L133" s="19"/>
      <c r="M133" s="19"/>
      <c r="N133" s="19"/>
      <c r="O133" s="19"/>
      <c r="P133" s="19"/>
      <c r="Q133" s="19"/>
      <c r="R133" s="19"/>
      <c r="S133" s="19"/>
      <c r="T133" s="19"/>
      <c r="U133" s="19"/>
      <c r="V133" s="19"/>
      <c r="W133" s="19"/>
      <c r="X133" s="19"/>
      <c r="Y133" s="19"/>
      <c r="Z133" s="19"/>
      <c r="AA133" s="19"/>
      <c r="AB133" s="19"/>
      <c r="AC133" s="19"/>
      <c r="AD133" s="19"/>
      <c r="AE133" s="19"/>
      <c r="AF133" s="19"/>
      <c r="AG133" s="19"/>
      <c r="AH133" s="19"/>
      <c r="AI133" s="19"/>
    </row>
    <row r="134" spans="1:35" x14ac:dyDescent="0.3">
      <c r="A134" s="2" t="str">
        <f>IF(IT名單!$A132="","",IT名單!$A132)</f>
        <v>客戶需求開發部</v>
      </c>
      <c r="B134" s="2" t="str">
        <f>IF(IT名單!$B132="","",IT名單!$B132)</f>
        <v>客戶需求開發部</v>
      </c>
      <c r="C134" s="16" t="str">
        <f>IF(IT名單!$C132="","",IT名單!$C132)</f>
        <v>IEC090292</v>
      </c>
      <c r="D134" s="18" t="str">
        <f>IF(IT名單!$D132="","",IT名單!$D132)</f>
        <v>陳彥廷</v>
      </c>
      <c r="E134" s="19"/>
      <c r="F134" s="19"/>
      <c r="G134" s="19"/>
      <c r="H134" s="19"/>
      <c r="I134" s="19"/>
      <c r="J134" s="19"/>
      <c r="K134" s="19"/>
      <c r="L134" s="19"/>
      <c r="M134" s="19"/>
      <c r="N134" s="19"/>
      <c r="O134" s="19"/>
      <c r="P134" s="19"/>
      <c r="Q134" s="19"/>
      <c r="R134" s="19"/>
      <c r="S134" s="19"/>
      <c r="T134" s="19"/>
      <c r="U134" s="19"/>
      <c r="V134" s="19"/>
      <c r="W134" s="19"/>
      <c r="X134" s="19"/>
      <c r="Y134" s="19"/>
      <c r="Z134" s="19"/>
      <c r="AA134" s="19"/>
      <c r="AB134" s="19"/>
      <c r="AC134" s="19"/>
      <c r="AD134" s="19"/>
      <c r="AE134" s="19"/>
      <c r="AF134" s="19"/>
      <c r="AG134" s="19"/>
      <c r="AH134" s="19"/>
      <c r="AI134" s="19"/>
    </row>
    <row r="135" spans="1:35" x14ac:dyDescent="0.3">
      <c r="A135" s="2" t="str">
        <f>IF(IT名單!$A133="","",IT名單!$A133)</f>
        <v>客戶需求開發部</v>
      </c>
      <c r="B135" s="2" t="str">
        <f>IF(IT名單!$B133="","",IT名單!$B133)</f>
        <v>客戶需求開發部</v>
      </c>
      <c r="C135" s="16" t="str">
        <f>IF(IT名單!$C133="","",IT名單!$C133)</f>
        <v>IEC110142</v>
      </c>
      <c r="D135" s="18" t="str">
        <f>IF(IT名單!$D133="","",IT名單!$D133)</f>
        <v>趙秉宏</v>
      </c>
      <c r="E135" s="19"/>
      <c r="F135" s="19"/>
      <c r="G135" s="19"/>
      <c r="H135" s="19"/>
      <c r="I135" s="19"/>
      <c r="J135" s="19"/>
      <c r="K135" s="19"/>
      <c r="L135" s="19"/>
      <c r="M135" s="19"/>
      <c r="N135" s="19"/>
      <c r="O135" s="19"/>
      <c r="P135" s="19"/>
      <c r="Q135" s="19"/>
      <c r="R135" s="19"/>
      <c r="S135" s="19"/>
      <c r="T135" s="19"/>
      <c r="U135" s="19"/>
      <c r="V135" s="19"/>
      <c r="W135" s="19"/>
      <c r="X135" s="19"/>
      <c r="Y135" s="19"/>
      <c r="Z135" s="19"/>
      <c r="AA135" s="19"/>
      <c r="AB135" s="19"/>
      <c r="AC135" s="19"/>
      <c r="AD135" s="19"/>
      <c r="AE135" s="19"/>
      <c r="AF135" s="19"/>
      <c r="AG135" s="19"/>
      <c r="AH135" s="19"/>
      <c r="AI135" s="19"/>
    </row>
    <row r="136" spans="1:35" x14ac:dyDescent="0.3">
      <c r="A136" s="2" t="str">
        <f>IF(IT名單!$A134="","",IT名單!$A134)</f>
        <v>客戶需求開發部</v>
      </c>
      <c r="B136" s="2" t="str">
        <f>IF(IT名單!$B134="","",IT名單!$B134)</f>
        <v>客戶需求開發部</v>
      </c>
      <c r="C136" s="16" t="str">
        <f>IF(IT名單!$C134="","",IT名單!$C134)</f>
        <v>IEC121243</v>
      </c>
      <c r="D136" s="18" t="str">
        <f>IF(IT名單!$D134="","",IT名單!$D134)</f>
        <v>連雅陞</v>
      </c>
      <c r="E136" s="19"/>
      <c r="F136" s="19"/>
      <c r="G136" s="19"/>
      <c r="H136" s="19"/>
      <c r="I136" s="19"/>
      <c r="J136" s="19"/>
      <c r="K136" s="19"/>
      <c r="L136" s="19"/>
      <c r="M136" s="19"/>
      <c r="N136" s="19"/>
      <c r="O136" s="19"/>
      <c r="P136" s="19"/>
      <c r="Q136" s="19"/>
      <c r="R136" s="19"/>
      <c r="S136" s="19"/>
      <c r="T136" s="19"/>
      <c r="U136" s="19"/>
      <c r="V136" s="19"/>
      <c r="W136" s="19"/>
      <c r="X136" s="19"/>
      <c r="Y136" s="19"/>
      <c r="Z136" s="19"/>
      <c r="AA136" s="19"/>
      <c r="AB136" s="19"/>
      <c r="AC136" s="19"/>
      <c r="AD136" s="19"/>
      <c r="AE136" s="19"/>
      <c r="AF136" s="19"/>
      <c r="AG136" s="19"/>
      <c r="AH136" s="19"/>
      <c r="AI136" s="19"/>
    </row>
    <row r="137" spans="1:35" x14ac:dyDescent="0.3">
      <c r="A137" s="2" t="str">
        <f>IF(IT名單!$A135="","",IT名單!$A135)</f>
        <v>客戶需求開發部</v>
      </c>
      <c r="B137" s="2" t="str">
        <f>IF(IT名單!$B135="","",IT名單!$B135)</f>
        <v>客戶需求開發部</v>
      </c>
      <c r="C137" s="16" t="str">
        <f>IF(IT名單!$C135="","",IT名單!$C135)</f>
        <v>IEC130022</v>
      </c>
      <c r="D137" s="18" t="str">
        <f>IF(IT名單!$D135="","",IT名單!$D135)</f>
        <v>彭麗璇</v>
      </c>
      <c r="E137" s="19"/>
      <c r="F137" s="19"/>
      <c r="G137" s="19"/>
      <c r="H137" s="19"/>
      <c r="I137" s="19"/>
      <c r="J137" s="19"/>
      <c r="K137" s="19"/>
      <c r="L137" s="19"/>
      <c r="M137" s="19"/>
      <c r="N137" s="19"/>
      <c r="O137" s="19"/>
      <c r="P137" s="19"/>
      <c r="Q137" s="19"/>
      <c r="R137" s="19"/>
      <c r="S137" s="19"/>
      <c r="T137" s="19"/>
      <c r="U137" s="19"/>
      <c r="V137" s="19"/>
      <c r="W137" s="19"/>
      <c r="X137" s="19"/>
      <c r="Y137" s="19"/>
      <c r="Z137" s="19"/>
      <c r="AA137" s="19"/>
      <c r="AB137" s="19"/>
      <c r="AC137" s="19"/>
      <c r="AD137" s="19"/>
      <c r="AE137" s="19"/>
      <c r="AF137" s="19"/>
      <c r="AG137" s="19"/>
      <c r="AH137" s="19"/>
      <c r="AI137" s="19"/>
    </row>
    <row r="138" spans="1:35" x14ac:dyDescent="0.3">
      <c r="A138" s="2" t="str">
        <f>IF(IT名單!$A136="","",IT名單!$A136)</f>
        <v>客戶需求開發部</v>
      </c>
      <c r="B138" s="2" t="str">
        <f>IF(IT名單!$B136="","",IT名單!$B136)</f>
        <v>客戶需求開發部</v>
      </c>
      <c r="C138" s="16" t="str">
        <f>IF(IT名單!$C136="","",IT名單!$C136)</f>
        <v>IEC910718</v>
      </c>
      <c r="D138" s="18" t="str">
        <f>IF(IT名單!$D136="","",IT名單!$D136)</f>
        <v>俞有清</v>
      </c>
      <c r="E138" s="19"/>
      <c r="F138" s="19"/>
      <c r="G138" s="19"/>
      <c r="H138" s="19"/>
      <c r="I138" s="19"/>
      <c r="J138" s="19"/>
      <c r="K138" s="19"/>
      <c r="L138" s="19"/>
      <c r="M138" s="19"/>
      <c r="N138" s="19"/>
      <c r="O138" s="19"/>
      <c r="P138" s="19"/>
      <c r="Q138" s="19"/>
      <c r="R138" s="19"/>
      <c r="S138" s="19"/>
      <c r="T138" s="19"/>
      <c r="U138" s="19"/>
      <c r="V138" s="19"/>
      <c r="W138" s="19"/>
      <c r="X138" s="19"/>
      <c r="Y138" s="19"/>
      <c r="Z138" s="19"/>
      <c r="AA138" s="19"/>
      <c r="AB138" s="19"/>
      <c r="AC138" s="19"/>
      <c r="AD138" s="19"/>
      <c r="AE138" s="19"/>
      <c r="AF138" s="19"/>
      <c r="AG138" s="19"/>
      <c r="AH138" s="19"/>
      <c r="AI138" s="19"/>
    </row>
    <row r="139" spans="1:35" x14ac:dyDescent="0.3">
      <c r="A139" s="2" t="str">
        <f>IF(IT名單!$A137="","",IT名單!$A137)</f>
        <v>客戶需求開發部</v>
      </c>
      <c r="B139" s="2" t="str">
        <f>IF(IT名單!$B137="","",IT名單!$B137)</f>
        <v>客戶需求開發部</v>
      </c>
      <c r="C139" s="16" t="str">
        <f>IF(IT名單!$C137="","",IT名單!$C137)</f>
        <v>IEC960411</v>
      </c>
      <c r="D139" s="18" t="str">
        <f>IF(IT名單!$D137="","",IT名單!$D137)</f>
        <v>陳國基</v>
      </c>
      <c r="E139" s="19"/>
      <c r="F139" s="19"/>
      <c r="G139" s="19"/>
      <c r="H139" s="19"/>
      <c r="I139" s="19"/>
      <c r="J139" s="19"/>
      <c r="K139" s="19"/>
      <c r="L139" s="19"/>
      <c r="M139" s="19"/>
      <c r="N139" s="19"/>
      <c r="O139" s="19"/>
      <c r="P139" s="19"/>
      <c r="Q139" s="19"/>
      <c r="R139" s="19"/>
      <c r="S139" s="19"/>
      <c r="T139" s="19"/>
      <c r="U139" s="19"/>
      <c r="V139" s="19"/>
      <c r="W139" s="19"/>
      <c r="X139" s="19"/>
      <c r="Y139" s="19"/>
      <c r="Z139" s="19"/>
      <c r="AA139" s="19"/>
      <c r="AB139" s="19"/>
      <c r="AC139" s="19"/>
      <c r="AD139" s="19"/>
      <c r="AE139" s="19"/>
      <c r="AF139" s="19"/>
      <c r="AG139" s="19"/>
      <c r="AH139" s="19"/>
      <c r="AI139" s="19"/>
    </row>
    <row r="140" spans="1:35" x14ac:dyDescent="0.3">
      <c r="A140" s="2" t="str">
        <f>IF(IT名單!$A138="","",IT名單!$A138)</f>
        <v>客戶需求開發部</v>
      </c>
      <c r="B140" s="2" t="str">
        <f>IF(IT名單!$B138="","",IT名單!$B138)</f>
        <v>客戶需求開發部</v>
      </c>
      <c r="C140" s="16" t="str">
        <f>IF(IT名單!$C138="","",IT名單!$C138)</f>
        <v>IEC070325</v>
      </c>
      <c r="D140" s="18" t="str">
        <f>IF(IT名單!$D138="","",IT名單!$D138)</f>
        <v>林瑞庭</v>
      </c>
      <c r="E140" s="19"/>
      <c r="F140" s="19"/>
      <c r="G140" s="19"/>
      <c r="H140" s="19"/>
      <c r="I140" s="19"/>
      <c r="J140" s="19"/>
      <c r="K140" s="19"/>
      <c r="L140" s="19"/>
      <c r="M140" s="19"/>
      <c r="N140" s="19"/>
      <c r="O140" s="19"/>
      <c r="P140" s="19"/>
      <c r="Q140" s="19"/>
      <c r="R140" s="19"/>
      <c r="S140" s="19"/>
      <c r="T140" s="19"/>
      <c r="U140" s="19"/>
      <c r="V140" s="19"/>
      <c r="W140" s="19"/>
      <c r="X140" s="19"/>
      <c r="Y140" s="19"/>
      <c r="Z140" s="19"/>
      <c r="AA140" s="19"/>
      <c r="AB140" s="19"/>
      <c r="AC140" s="19"/>
      <c r="AD140" s="19"/>
      <c r="AE140" s="19"/>
      <c r="AF140" s="19"/>
      <c r="AG140" s="19"/>
      <c r="AH140" s="19"/>
      <c r="AI140" s="19"/>
    </row>
    <row r="141" spans="1:35" x14ac:dyDescent="0.3">
      <c r="A141" s="2" t="str">
        <f>IF(IT名單!$A139="","",IT名單!$A139)</f>
        <v>生產規劃開發部</v>
      </c>
      <c r="B141" s="2" t="str">
        <f>IF(IT名單!$B139="","",IT名單!$B139)</f>
        <v>生產規劃開發部</v>
      </c>
      <c r="C141" s="16" t="str">
        <f>IF(IT名單!$C139="","",IT名單!$C139)</f>
        <v>IEC810308</v>
      </c>
      <c r="D141" s="18" t="str">
        <f>IF(IT名單!$D139="","",IT名單!$D139)</f>
        <v>張金生</v>
      </c>
      <c r="E141" s="19"/>
      <c r="F141" s="19"/>
      <c r="G141" s="19"/>
      <c r="H141" s="19"/>
      <c r="I141" s="19"/>
      <c r="J141" s="19"/>
      <c r="K141" s="19"/>
      <c r="L141" s="19"/>
      <c r="M141" s="19"/>
      <c r="N141" s="19"/>
      <c r="O141" s="19"/>
      <c r="P141" s="19"/>
      <c r="Q141" s="19"/>
      <c r="R141" s="19"/>
      <c r="S141" s="19"/>
      <c r="T141" s="19"/>
      <c r="U141" s="19"/>
      <c r="V141" s="19"/>
      <c r="W141" s="19"/>
      <c r="X141" s="19"/>
      <c r="Y141" s="19"/>
      <c r="Z141" s="19"/>
      <c r="AA141" s="19"/>
      <c r="AB141" s="19"/>
      <c r="AC141" s="19"/>
      <c r="AD141" s="19"/>
      <c r="AE141" s="19"/>
      <c r="AF141" s="19"/>
      <c r="AG141" s="19"/>
      <c r="AH141" s="19"/>
      <c r="AI141" s="19"/>
    </row>
    <row r="142" spans="1:35" x14ac:dyDescent="0.3">
      <c r="A142" s="2" t="str">
        <f>IF(IT名單!$A140="","",IT名單!$A140)</f>
        <v>生產規劃開發部</v>
      </c>
      <c r="B142" s="2" t="str">
        <f>IF(IT名單!$B140="","",IT名單!$B140)</f>
        <v>生產規劃開發部</v>
      </c>
      <c r="C142" s="16" t="str">
        <f>IF(IT名單!$C140="","",IT名單!$C140)</f>
        <v>IEC870625</v>
      </c>
      <c r="D142" s="18" t="str">
        <f>IF(IT名單!$D140="","",IT名單!$D140)</f>
        <v>羅祝英</v>
      </c>
      <c r="E142" s="19"/>
      <c r="F142" s="19"/>
      <c r="G142" s="19"/>
      <c r="H142" s="19"/>
      <c r="I142" s="19"/>
      <c r="J142" s="19"/>
      <c r="K142" s="19"/>
      <c r="L142" s="19"/>
      <c r="M142" s="19"/>
      <c r="N142" s="19"/>
      <c r="O142" s="19"/>
      <c r="P142" s="19"/>
      <c r="Q142" s="19"/>
      <c r="R142" s="19"/>
      <c r="S142" s="19"/>
      <c r="T142" s="19"/>
      <c r="U142" s="19"/>
      <c r="V142" s="19"/>
      <c r="W142" s="19"/>
      <c r="X142" s="19"/>
      <c r="Y142" s="19"/>
      <c r="Z142" s="19"/>
      <c r="AA142" s="19"/>
      <c r="AB142" s="19"/>
      <c r="AC142" s="19"/>
      <c r="AD142" s="19"/>
      <c r="AE142" s="19"/>
      <c r="AF142" s="19"/>
      <c r="AG142" s="19"/>
      <c r="AH142" s="19"/>
      <c r="AI142" s="19"/>
    </row>
    <row r="143" spans="1:35" x14ac:dyDescent="0.3">
      <c r="A143" s="2" t="str">
        <f>IF(IT名單!$A141="","",IT名單!$A141)</f>
        <v>生產規劃開發部</v>
      </c>
      <c r="B143" s="2" t="str">
        <f>IF(IT名單!$B141="","",IT名單!$B141)</f>
        <v>生產規劃開發部</v>
      </c>
      <c r="C143" s="16" t="str">
        <f>IF(IT名單!$C141="","",IT名單!$C141)</f>
        <v>IEC050207</v>
      </c>
      <c r="D143" s="18" t="str">
        <f>IF(IT名單!$D141="","",IT名單!$D141)</f>
        <v>林韋志</v>
      </c>
      <c r="E143" s="19"/>
      <c r="F143" s="19"/>
      <c r="G143" s="19"/>
      <c r="H143" s="19"/>
      <c r="I143" s="19"/>
      <c r="J143" s="19"/>
      <c r="K143" s="19"/>
      <c r="L143" s="19"/>
      <c r="M143" s="19"/>
      <c r="N143" s="19"/>
      <c r="O143" s="19"/>
      <c r="P143" s="19"/>
      <c r="Q143" s="19"/>
      <c r="R143" s="19"/>
      <c r="S143" s="19"/>
      <c r="T143" s="19"/>
      <c r="U143" s="19"/>
      <c r="V143" s="19"/>
      <c r="W143" s="19"/>
      <c r="X143" s="19"/>
      <c r="Y143" s="19"/>
      <c r="Z143" s="19"/>
      <c r="AA143" s="19"/>
      <c r="AB143" s="19"/>
      <c r="AC143" s="19"/>
      <c r="AD143" s="19"/>
      <c r="AE143" s="19"/>
      <c r="AF143" s="19"/>
      <c r="AG143" s="19"/>
      <c r="AH143" s="19"/>
      <c r="AI143" s="19"/>
    </row>
    <row r="144" spans="1:35" x14ac:dyDescent="0.3">
      <c r="A144" s="2" t="str">
        <f>IF(IT名單!$A142="","",IT名單!$A142)</f>
        <v>生產規劃開發部</v>
      </c>
      <c r="B144" s="2" t="str">
        <f>IF(IT名單!$B142="","",IT名單!$B142)</f>
        <v>生產規劃開發部</v>
      </c>
      <c r="C144" s="16" t="str">
        <f>IF(IT名單!$C142="","",IT名單!$C142)</f>
        <v>IEC081008</v>
      </c>
      <c r="D144" s="18" t="str">
        <f>IF(IT名單!$D142="","",IT名單!$D142)</f>
        <v>佘純寧</v>
      </c>
      <c r="E144" s="19"/>
      <c r="F144" s="19"/>
      <c r="G144" s="19"/>
      <c r="H144" s="19"/>
      <c r="I144" s="19"/>
      <c r="J144" s="19"/>
      <c r="K144" s="19"/>
      <c r="L144" s="19"/>
      <c r="M144" s="19"/>
      <c r="N144" s="19"/>
      <c r="O144" s="19"/>
      <c r="P144" s="19"/>
      <c r="Q144" s="19"/>
      <c r="R144" s="19"/>
      <c r="S144" s="19"/>
      <c r="T144" s="19"/>
      <c r="U144" s="19"/>
      <c r="V144" s="19"/>
      <c r="W144" s="19"/>
      <c r="X144" s="19"/>
      <c r="Y144" s="19"/>
      <c r="Z144" s="19"/>
      <c r="AA144" s="19"/>
      <c r="AB144" s="19"/>
      <c r="AC144" s="19"/>
      <c r="AD144" s="19"/>
      <c r="AE144" s="19"/>
      <c r="AF144" s="19"/>
      <c r="AG144" s="19"/>
      <c r="AH144" s="19"/>
      <c r="AI144" s="19"/>
    </row>
    <row r="145" spans="1:35" x14ac:dyDescent="0.3">
      <c r="A145" s="2" t="str">
        <f>IF(IT名單!$A143="","",IT名單!$A143)</f>
        <v>生產規劃開發部</v>
      </c>
      <c r="B145" s="2" t="str">
        <f>IF(IT名單!$B143="","",IT名單!$B143)</f>
        <v>生產規劃開發部</v>
      </c>
      <c r="C145" s="16" t="str">
        <f>IF(IT名單!$C143="","",IT名單!$C143)</f>
        <v>IEC090902</v>
      </c>
      <c r="D145" s="18" t="str">
        <f>IF(IT名單!$D143="","",IT名單!$D143)</f>
        <v>游雅婷</v>
      </c>
      <c r="E145" s="19"/>
      <c r="F145" s="19"/>
      <c r="G145" s="19"/>
      <c r="H145" s="19"/>
      <c r="I145" s="19"/>
      <c r="J145" s="19"/>
      <c r="K145" s="19"/>
      <c r="L145" s="19"/>
      <c r="M145" s="19"/>
      <c r="N145" s="19"/>
      <c r="O145" s="19"/>
      <c r="P145" s="19"/>
      <c r="Q145" s="19"/>
      <c r="R145" s="19"/>
      <c r="S145" s="19"/>
      <c r="T145" s="19"/>
      <c r="U145" s="19"/>
      <c r="V145" s="19"/>
      <c r="W145" s="19"/>
      <c r="X145" s="19"/>
      <c r="Y145" s="19"/>
      <c r="Z145" s="19"/>
      <c r="AA145" s="19"/>
      <c r="AB145" s="19"/>
      <c r="AC145" s="19"/>
      <c r="AD145" s="19"/>
      <c r="AE145" s="19"/>
      <c r="AF145" s="19"/>
      <c r="AG145" s="19"/>
      <c r="AH145" s="19"/>
      <c r="AI145" s="19"/>
    </row>
    <row r="146" spans="1:35" x14ac:dyDescent="0.3">
      <c r="A146" s="2" t="str">
        <f>IF(IT名單!$A144="","",IT名單!$A144)</f>
        <v>生產規劃開發部</v>
      </c>
      <c r="B146" s="2" t="str">
        <f>IF(IT名單!$B144="","",IT名單!$B144)</f>
        <v>生產規劃開發部</v>
      </c>
      <c r="C146" s="16" t="str">
        <f>IF(IT名單!$C144="","",IT名單!$C144)</f>
        <v>IEC110724</v>
      </c>
      <c r="D146" s="18" t="str">
        <f>IF(IT名單!$D144="","",IT名單!$D144)</f>
        <v>施佑霖</v>
      </c>
      <c r="E146" s="19"/>
      <c r="F146" s="19"/>
      <c r="G146" s="19"/>
      <c r="H146" s="19"/>
      <c r="I146" s="19"/>
      <c r="J146" s="19"/>
      <c r="K146" s="19"/>
      <c r="L146" s="19"/>
      <c r="M146" s="19"/>
      <c r="N146" s="19"/>
      <c r="O146" s="19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</row>
    <row r="147" spans="1:35" x14ac:dyDescent="0.3">
      <c r="A147" s="2" t="str">
        <f>IF(IT名單!$A145="","",IT名單!$A145)</f>
        <v>生產規劃開發部</v>
      </c>
      <c r="B147" s="2" t="str">
        <f>IF(IT名單!$B145="","",IT名單!$B145)</f>
        <v>生產規劃開發部</v>
      </c>
      <c r="C147" s="16" t="str">
        <f>IF(IT名單!$C145="","",IT名單!$C145)</f>
        <v>IEC121085</v>
      </c>
      <c r="D147" s="18" t="str">
        <f>IF(IT名單!$D145="","",IT名單!$D145)</f>
        <v>李玟萱</v>
      </c>
      <c r="E147" s="19"/>
      <c r="F147" s="19"/>
      <c r="G147" s="19"/>
      <c r="H147" s="19"/>
      <c r="I147" s="19"/>
      <c r="J147" s="19"/>
      <c r="K147" s="19"/>
      <c r="L147" s="19"/>
      <c r="M147" s="19"/>
      <c r="N147" s="19"/>
      <c r="O147" s="19"/>
      <c r="P147" s="19"/>
      <c r="Q147" s="19"/>
      <c r="R147" s="19"/>
      <c r="S147" s="19"/>
      <c r="T147" s="19"/>
      <c r="U147" s="19"/>
      <c r="V147" s="19"/>
      <c r="W147" s="19"/>
      <c r="X147" s="19"/>
      <c r="Y147" s="19"/>
      <c r="Z147" s="19"/>
      <c r="AA147" s="19"/>
      <c r="AB147" s="19"/>
      <c r="AC147" s="19"/>
      <c r="AD147" s="19"/>
      <c r="AE147" s="19"/>
      <c r="AF147" s="19"/>
      <c r="AG147" s="19"/>
      <c r="AH147" s="19"/>
      <c r="AI147" s="19"/>
    </row>
    <row r="148" spans="1:35" x14ac:dyDescent="0.3">
      <c r="A148" s="2" t="str">
        <f>IF(IT名單!$A146="","",IT名單!$A146)</f>
        <v>資訊架構管理二部</v>
      </c>
      <c r="B148" s="2" t="str">
        <f>IF(IT名單!$B146="","",IT名單!$B146)</f>
        <v>資訊架構管理二部</v>
      </c>
      <c r="C148" s="16" t="str">
        <f>IF(IT名單!$C146="","",IT名單!$C146)</f>
        <v>IEC110828</v>
      </c>
      <c r="D148" s="18" t="str">
        <f>IF(IT名單!$D146="","",IT名單!$D146)</f>
        <v>林志鴻</v>
      </c>
      <c r="E148" s="19"/>
      <c r="F148" s="19"/>
      <c r="G148" s="19"/>
      <c r="H148" s="19"/>
      <c r="I148" s="19"/>
      <c r="J148" s="19"/>
      <c r="K148" s="19"/>
      <c r="L148" s="19"/>
      <c r="M148" s="19"/>
      <c r="N148" s="19"/>
      <c r="O148" s="19"/>
      <c r="P148" s="19"/>
      <c r="Q148" s="19"/>
      <c r="R148" s="19"/>
      <c r="S148" s="19"/>
      <c r="T148" s="19"/>
      <c r="U148" s="19"/>
      <c r="V148" s="19"/>
      <c r="W148" s="19"/>
      <c r="X148" s="19"/>
      <c r="Y148" s="19"/>
      <c r="Z148" s="19"/>
      <c r="AA148" s="19"/>
      <c r="AB148" s="19"/>
      <c r="AC148" s="19"/>
      <c r="AD148" s="19"/>
      <c r="AE148" s="19"/>
      <c r="AF148" s="19"/>
      <c r="AG148" s="19"/>
      <c r="AH148" s="19"/>
      <c r="AI148" s="19"/>
    </row>
    <row r="149" spans="1:35" x14ac:dyDescent="0.3">
      <c r="A149" s="2" t="str">
        <f>IF(IT名單!$A147="","",IT名單!$A147)</f>
        <v>資訊架構管理二部</v>
      </c>
      <c r="B149" s="2" t="str">
        <f>IF(IT名單!$B147="","",IT名單!$B147)</f>
        <v>資訊架構管理二部</v>
      </c>
      <c r="C149" s="16" t="str">
        <f>IF(IT名單!$C147="","",IT名單!$C147)</f>
        <v>IEC080094</v>
      </c>
      <c r="D149" s="18" t="str">
        <f>IF(IT名單!$D147="","",IT名單!$D147)</f>
        <v>林有為</v>
      </c>
      <c r="E149" s="19"/>
      <c r="F149" s="19"/>
      <c r="G149" s="19"/>
      <c r="H149" s="19"/>
      <c r="I149" s="19"/>
      <c r="J149" s="19"/>
      <c r="K149" s="19"/>
      <c r="L149" s="19"/>
      <c r="M149" s="19"/>
      <c r="N149" s="19"/>
      <c r="O149" s="19"/>
      <c r="P149" s="19"/>
      <c r="Q149" s="19"/>
      <c r="R149" s="19"/>
      <c r="S149" s="19"/>
      <c r="T149" s="19"/>
      <c r="U149" s="19"/>
      <c r="V149" s="19"/>
      <c r="W149" s="19"/>
      <c r="X149" s="19"/>
      <c r="Y149" s="19"/>
      <c r="Z149" s="19"/>
      <c r="AA149" s="19"/>
      <c r="AB149" s="19"/>
      <c r="AC149" s="19"/>
      <c r="AD149" s="19"/>
      <c r="AE149" s="19"/>
      <c r="AF149" s="19"/>
      <c r="AG149" s="19"/>
      <c r="AH149" s="19"/>
      <c r="AI149" s="19"/>
    </row>
    <row r="150" spans="1:35" x14ac:dyDescent="0.3">
      <c r="A150" s="2" t="str">
        <f>IF(IT名單!$A148="","",IT名單!$A148)</f>
        <v>資訊架構管理二部</v>
      </c>
      <c r="B150" s="2" t="str">
        <f>IF(IT名單!$B148="","",IT名單!$B148)</f>
        <v>資訊架構管理二部</v>
      </c>
      <c r="C150" s="16" t="str">
        <f>IF(IT名單!$C148="","",IT名單!$C148)</f>
        <v>IEC010089</v>
      </c>
      <c r="D150" s="18" t="str">
        <f>IF(IT名單!$D148="","",IT名單!$D148)</f>
        <v>黃信泰</v>
      </c>
      <c r="E150" s="19"/>
      <c r="F150" s="19"/>
      <c r="G150" s="19"/>
      <c r="H150" s="19"/>
      <c r="I150" s="19"/>
      <c r="J150" s="19"/>
      <c r="K150" s="19"/>
      <c r="L150" s="19"/>
      <c r="M150" s="19"/>
      <c r="N150" s="19"/>
      <c r="O150" s="19"/>
      <c r="P150" s="19"/>
      <c r="Q150" s="19"/>
      <c r="R150" s="19"/>
      <c r="S150" s="19"/>
      <c r="T150" s="19"/>
      <c r="U150" s="19"/>
      <c r="V150" s="19"/>
      <c r="W150" s="19"/>
      <c r="X150" s="19"/>
      <c r="Y150" s="19"/>
      <c r="Z150" s="19"/>
      <c r="AA150" s="19"/>
      <c r="AB150" s="19"/>
      <c r="AC150" s="19"/>
      <c r="AD150" s="19"/>
      <c r="AE150" s="19"/>
      <c r="AF150" s="19"/>
      <c r="AG150" s="19"/>
      <c r="AH150" s="19"/>
      <c r="AI150" s="19"/>
    </row>
    <row r="151" spans="1:35" x14ac:dyDescent="0.3">
      <c r="A151" s="2" t="str">
        <f>IF(IT名單!$A149="","",IT名單!$A149)</f>
        <v>資訊架構管理二部</v>
      </c>
      <c r="B151" s="2" t="str">
        <f>IF(IT名單!$B149="","",IT名單!$B149)</f>
        <v>資訊架構管理二部</v>
      </c>
      <c r="C151" s="16" t="str">
        <f>IF(IT名單!$C149="","",IT名單!$C149)</f>
        <v>IEC070178</v>
      </c>
      <c r="D151" s="18" t="str">
        <f>IF(IT名單!$D149="","",IT名單!$D149)</f>
        <v>劉學儒</v>
      </c>
      <c r="E151" s="19"/>
      <c r="F151" s="19"/>
      <c r="G151" s="19"/>
      <c r="H151" s="19"/>
      <c r="I151" s="19"/>
      <c r="J151" s="19"/>
      <c r="K151" s="19"/>
      <c r="L151" s="19"/>
      <c r="M151" s="19"/>
      <c r="N151" s="19"/>
      <c r="O151" s="19"/>
      <c r="P151" s="19"/>
      <c r="Q151" s="19"/>
      <c r="R151" s="19"/>
      <c r="S151" s="19"/>
      <c r="T151" s="19"/>
      <c r="U151" s="19"/>
      <c r="V151" s="19"/>
      <c r="W151" s="19"/>
      <c r="X151" s="19"/>
      <c r="Y151" s="19"/>
      <c r="Z151" s="19"/>
      <c r="AA151" s="19"/>
      <c r="AB151" s="19"/>
      <c r="AC151" s="19"/>
      <c r="AD151" s="19"/>
      <c r="AE151" s="19"/>
      <c r="AF151" s="19"/>
      <c r="AG151" s="19"/>
      <c r="AH151" s="19"/>
      <c r="AI151" s="19"/>
    </row>
    <row r="152" spans="1:35" x14ac:dyDescent="0.3">
      <c r="A152" s="2" t="str">
        <f>IF(IT名單!$A150="","",IT名單!$A150)</f>
        <v>資訊架構管理二部</v>
      </c>
      <c r="B152" s="2" t="str">
        <f>IF(IT名單!$B150="","",IT名單!$B150)</f>
        <v>資訊架構管理二部</v>
      </c>
      <c r="C152" s="16" t="str">
        <f>IF(IT名單!$C150="","",IT名單!$C150)</f>
        <v>IEC081291</v>
      </c>
      <c r="D152" s="18" t="str">
        <f>IF(IT名單!$D150="","",IT名單!$D150)</f>
        <v>林垂冠</v>
      </c>
      <c r="E152" s="19"/>
      <c r="F152" s="19"/>
      <c r="G152" s="19"/>
      <c r="H152" s="19"/>
      <c r="I152" s="19"/>
      <c r="J152" s="19"/>
      <c r="K152" s="19"/>
      <c r="L152" s="19"/>
      <c r="M152" s="19"/>
      <c r="N152" s="19"/>
      <c r="O152" s="19"/>
      <c r="P152" s="19"/>
      <c r="Q152" s="19"/>
      <c r="R152" s="19"/>
      <c r="S152" s="19"/>
      <c r="T152" s="19"/>
      <c r="U152" s="19"/>
      <c r="V152" s="19"/>
      <c r="W152" s="19"/>
      <c r="X152" s="19"/>
      <c r="Y152" s="19"/>
      <c r="Z152" s="19"/>
      <c r="AA152" s="19"/>
      <c r="AB152" s="19"/>
      <c r="AC152" s="19"/>
      <c r="AD152" s="19"/>
      <c r="AE152" s="19"/>
      <c r="AF152" s="19"/>
      <c r="AG152" s="19"/>
      <c r="AH152" s="19"/>
      <c r="AI152" s="19"/>
    </row>
    <row r="153" spans="1:35" x14ac:dyDescent="0.3">
      <c r="A153" s="2" t="str">
        <f>IF(IT名單!$A151="","",IT名單!$A151)</f>
        <v>資訊架構管理二部</v>
      </c>
      <c r="B153" s="2" t="str">
        <f>IF(IT名單!$B151="","",IT名單!$B151)</f>
        <v>資訊架構管理二部</v>
      </c>
      <c r="C153" s="16" t="str">
        <f>IF(IT名單!$C151="","",IT名單!$C151)</f>
        <v>IEC081598</v>
      </c>
      <c r="D153" s="18" t="str">
        <f>IF(IT名單!$D151="","",IT名單!$D151)</f>
        <v>廖運禎</v>
      </c>
      <c r="E153" s="19"/>
      <c r="F153" s="19"/>
      <c r="G153" s="19"/>
      <c r="H153" s="19"/>
      <c r="I153" s="19"/>
      <c r="J153" s="19"/>
      <c r="K153" s="19"/>
      <c r="L153" s="19"/>
      <c r="M153" s="19"/>
      <c r="N153" s="19"/>
      <c r="O153" s="19"/>
      <c r="P153" s="19"/>
      <c r="Q153" s="19"/>
      <c r="R153" s="19"/>
      <c r="S153" s="19"/>
      <c r="T153" s="19"/>
      <c r="U153" s="19"/>
      <c r="V153" s="19"/>
      <c r="W153" s="19"/>
      <c r="X153" s="19"/>
      <c r="Y153" s="19"/>
      <c r="Z153" s="19"/>
      <c r="AA153" s="19"/>
      <c r="AB153" s="19"/>
      <c r="AC153" s="19"/>
      <c r="AD153" s="19"/>
      <c r="AE153" s="19"/>
      <c r="AF153" s="19"/>
      <c r="AG153" s="19"/>
      <c r="AH153" s="19"/>
      <c r="AI153" s="19"/>
    </row>
    <row r="154" spans="1:35" x14ac:dyDescent="0.3">
      <c r="A154" s="2" t="str">
        <f>IF(IT名單!$A152="","",IT名單!$A152)</f>
        <v>資訊架構管理二部</v>
      </c>
      <c r="B154" s="2" t="str">
        <f>IF(IT名單!$B152="","",IT名單!$B152)</f>
        <v>資訊架構管理二部</v>
      </c>
      <c r="C154" s="16" t="str">
        <f>IF(IT名單!$C152="","",IT名單!$C152)</f>
        <v>IEC090232</v>
      </c>
      <c r="D154" s="18" t="str">
        <f>IF(IT名單!$D152="","",IT名單!$D152)</f>
        <v>胡志豪</v>
      </c>
      <c r="E154" s="19"/>
      <c r="F154" s="19"/>
      <c r="G154" s="19"/>
      <c r="H154" s="19"/>
      <c r="I154" s="19"/>
      <c r="J154" s="19"/>
      <c r="K154" s="19"/>
      <c r="L154" s="19"/>
      <c r="M154" s="19"/>
      <c r="N154" s="19"/>
      <c r="O154" s="19"/>
      <c r="P154" s="19"/>
      <c r="Q154" s="19"/>
      <c r="R154" s="19"/>
      <c r="S154" s="19"/>
      <c r="T154" s="19"/>
      <c r="U154" s="19"/>
      <c r="V154" s="19"/>
      <c r="W154" s="19"/>
      <c r="X154" s="19"/>
      <c r="Y154" s="19"/>
      <c r="Z154" s="19"/>
      <c r="AA154" s="19"/>
      <c r="AB154" s="19"/>
      <c r="AC154" s="19"/>
      <c r="AD154" s="19"/>
      <c r="AE154" s="19"/>
      <c r="AF154" s="19"/>
      <c r="AG154" s="19"/>
      <c r="AH154" s="19"/>
      <c r="AI154" s="19"/>
    </row>
    <row r="155" spans="1:35" x14ac:dyDescent="0.3">
      <c r="A155" s="2" t="str">
        <f>IF(IT名單!$A153="","",IT名單!$A153)</f>
        <v>資訊架構管理二部</v>
      </c>
      <c r="B155" s="2" t="str">
        <f>IF(IT名單!$B153="","",IT名單!$B153)</f>
        <v>資訊架構管理二部</v>
      </c>
      <c r="C155" s="16" t="str">
        <f>IF(IT名單!$C153="","",IT名單!$C153)</f>
        <v>IEC110212</v>
      </c>
      <c r="D155" s="18" t="str">
        <f>IF(IT名單!$D153="","",IT名單!$D153)</f>
        <v>陳登貴</v>
      </c>
      <c r="E155" s="19"/>
      <c r="F155" s="19"/>
      <c r="G155" s="19"/>
      <c r="H155" s="19"/>
      <c r="I155" s="19"/>
      <c r="J155" s="19"/>
      <c r="K155" s="19"/>
      <c r="L155" s="19"/>
      <c r="M155" s="19"/>
      <c r="N155" s="19"/>
      <c r="O155" s="19"/>
      <c r="P155" s="19"/>
      <c r="Q155" s="19"/>
      <c r="R155" s="19"/>
      <c r="S155" s="19"/>
      <c r="T155" s="19"/>
      <c r="U155" s="19"/>
      <c r="V155" s="19"/>
      <c r="W155" s="19"/>
      <c r="X155" s="19"/>
      <c r="Y155" s="19"/>
      <c r="Z155" s="19"/>
      <c r="AA155" s="19"/>
      <c r="AB155" s="19"/>
      <c r="AC155" s="19"/>
      <c r="AD155" s="19"/>
      <c r="AE155" s="19"/>
      <c r="AF155" s="19"/>
      <c r="AG155" s="19"/>
      <c r="AH155" s="19"/>
      <c r="AI155" s="19"/>
    </row>
    <row r="156" spans="1:35" x14ac:dyDescent="0.3">
      <c r="A156" s="2" t="str">
        <f>IF(IT名單!$A154="","",IT名單!$A154)</f>
        <v>資訊架構管理二部</v>
      </c>
      <c r="B156" s="2" t="str">
        <f>IF(IT名單!$B154="","",IT名單!$B154)</f>
        <v>資訊架構管理二部</v>
      </c>
      <c r="C156" s="16" t="str">
        <f>IF(IT名單!$C154="","",IT名單!$C154)</f>
        <v>IEC110755</v>
      </c>
      <c r="D156" s="18" t="str">
        <f>IF(IT名單!$D154="","",IT名單!$D154)</f>
        <v>陳建宇</v>
      </c>
      <c r="E156" s="19"/>
      <c r="F156" s="19"/>
      <c r="G156" s="19"/>
      <c r="H156" s="19"/>
      <c r="I156" s="19"/>
      <c r="J156" s="19"/>
      <c r="K156" s="19"/>
      <c r="L156" s="19"/>
      <c r="M156" s="19"/>
      <c r="N156" s="19"/>
      <c r="O156" s="19"/>
      <c r="P156" s="19"/>
      <c r="Q156" s="19"/>
      <c r="R156" s="19"/>
      <c r="S156" s="19"/>
      <c r="T156" s="19"/>
      <c r="U156" s="19"/>
      <c r="V156" s="19"/>
      <c r="W156" s="19"/>
      <c r="X156" s="19"/>
      <c r="Y156" s="19"/>
      <c r="Z156" s="19"/>
      <c r="AA156" s="19"/>
      <c r="AB156" s="19"/>
      <c r="AC156" s="19"/>
      <c r="AD156" s="19"/>
      <c r="AE156" s="19"/>
      <c r="AF156" s="19"/>
      <c r="AG156" s="19"/>
      <c r="AH156" s="19"/>
      <c r="AI156" s="19"/>
    </row>
    <row r="157" spans="1:35" x14ac:dyDescent="0.3">
      <c r="A157" s="2" t="str">
        <f>IF(IT名單!$A155="","",IT名單!$A155)</f>
        <v>資訊架構管理二部</v>
      </c>
      <c r="B157" s="2" t="str">
        <f>IF(IT名單!$B155="","",IT名單!$B155)</f>
        <v>資訊架構管理二部</v>
      </c>
      <c r="C157" s="16" t="str">
        <f>IF(IT名單!$C155="","",IT名單!$C155)</f>
        <v>IEC110827</v>
      </c>
      <c r="D157" s="18" t="str">
        <f>IF(IT名單!$D155="","",IT名單!$D155)</f>
        <v>蔡銘芳</v>
      </c>
      <c r="E157" s="19"/>
      <c r="F157" s="19"/>
      <c r="G157" s="19"/>
      <c r="H157" s="19"/>
      <c r="I157" s="19"/>
      <c r="J157" s="19"/>
      <c r="K157" s="19"/>
      <c r="L157" s="19"/>
      <c r="M157" s="19"/>
      <c r="N157" s="19"/>
      <c r="O157" s="19"/>
      <c r="P157" s="19"/>
      <c r="Q157" s="19"/>
      <c r="R157" s="19"/>
      <c r="S157" s="19"/>
      <c r="T157" s="19"/>
      <c r="U157" s="19"/>
      <c r="V157" s="19"/>
      <c r="W157" s="19"/>
      <c r="X157" s="19"/>
      <c r="Y157" s="19"/>
      <c r="Z157" s="19"/>
      <c r="AA157" s="19"/>
      <c r="AB157" s="19"/>
      <c r="AC157" s="19"/>
      <c r="AD157" s="19"/>
      <c r="AE157" s="19"/>
      <c r="AF157" s="19"/>
      <c r="AG157" s="19"/>
      <c r="AH157" s="19"/>
      <c r="AI157" s="19"/>
    </row>
    <row r="158" spans="1:35" x14ac:dyDescent="0.3">
      <c r="A158" s="2" t="str">
        <f>IF(IT名單!$A156="","",IT名單!$A156)</f>
        <v>資訊架構管理二部</v>
      </c>
      <c r="B158" s="2" t="str">
        <f>IF(IT名單!$B156="","",IT名單!$B156)</f>
        <v>資訊架構管理二部</v>
      </c>
      <c r="C158" s="16" t="str">
        <f>IF(IT名單!$C156="","",IT名單!$C156)</f>
        <v>IEC000026</v>
      </c>
      <c r="D158" s="18" t="str">
        <f>IF(IT名單!$D156="","",IT名單!$D156)</f>
        <v>羅元志</v>
      </c>
      <c r="E158" s="19"/>
      <c r="F158" s="19"/>
      <c r="G158" s="19"/>
      <c r="H158" s="19"/>
      <c r="I158" s="19"/>
      <c r="J158" s="19"/>
      <c r="K158" s="19"/>
      <c r="L158" s="19"/>
      <c r="M158" s="19"/>
      <c r="N158" s="19"/>
      <c r="O158" s="19"/>
      <c r="P158" s="19"/>
      <c r="Q158" s="19"/>
      <c r="R158" s="19"/>
      <c r="S158" s="19"/>
      <c r="T158" s="19"/>
      <c r="U158" s="19"/>
      <c r="V158" s="19"/>
      <c r="W158" s="19"/>
      <c r="X158" s="19"/>
      <c r="Y158" s="19"/>
      <c r="Z158" s="19"/>
      <c r="AA158" s="19"/>
      <c r="AB158" s="19"/>
      <c r="AC158" s="19"/>
      <c r="AD158" s="19"/>
      <c r="AE158" s="19"/>
      <c r="AF158" s="19"/>
      <c r="AG158" s="19"/>
      <c r="AH158" s="19"/>
      <c r="AI158" s="19"/>
    </row>
    <row r="159" spans="1:35" x14ac:dyDescent="0.3">
      <c r="A159" s="2" t="str">
        <f>IF(IT名單!$A157="","",IT名單!$A157)</f>
        <v>資訊架構管理二部</v>
      </c>
      <c r="B159" s="2" t="str">
        <f>IF(IT名單!$B157="","",IT名單!$B157)</f>
        <v>資訊架構管理二部</v>
      </c>
      <c r="C159" s="16" t="str">
        <f>IF(IT名單!$C157="","",IT名單!$C157)</f>
        <v>IEC111359</v>
      </c>
      <c r="D159" s="18" t="str">
        <f>IF(IT名單!$D157="","",IT名單!$D157)</f>
        <v>吳宏彬</v>
      </c>
      <c r="E159" s="19"/>
      <c r="F159" s="19"/>
      <c r="G159" s="19"/>
      <c r="H159" s="19"/>
      <c r="I159" s="19"/>
      <c r="J159" s="19"/>
      <c r="K159" s="19"/>
      <c r="L159" s="19"/>
      <c r="M159" s="19"/>
      <c r="N159" s="19"/>
      <c r="O159" s="19"/>
      <c r="P159" s="19"/>
      <c r="Q159" s="19"/>
      <c r="R159" s="19"/>
      <c r="S159" s="19"/>
      <c r="T159" s="19"/>
      <c r="U159" s="19"/>
      <c r="V159" s="19"/>
      <c r="W159" s="19"/>
      <c r="X159" s="19"/>
      <c r="Y159" s="19"/>
      <c r="Z159" s="19"/>
      <c r="AA159" s="19"/>
      <c r="AB159" s="19"/>
      <c r="AC159" s="19"/>
      <c r="AD159" s="19"/>
      <c r="AE159" s="19"/>
      <c r="AF159" s="19"/>
      <c r="AG159" s="19"/>
      <c r="AH159" s="19"/>
      <c r="AI159" s="19"/>
    </row>
    <row r="160" spans="1:35" x14ac:dyDescent="0.3">
      <c r="A160" s="2" t="str">
        <f>IF(IT名單!$A158="","",IT名單!$A158)</f>
        <v>資訊架構管理二部</v>
      </c>
      <c r="B160" s="2" t="str">
        <f>IF(IT名單!$B158="","",IT名單!$B158)</f>
        <v>資訊架構管理二部</v>
      </c>
      <c r="C160" s="16" t="str">
        <f>IF(IT名單!$C158="","",IT名單!$C158)</f>
        <v>IEC111385</v>
      </c>
      <c r="D160" s="18" t="str">
        <f>IF(IT名單!$D158="","",IT名單!$D158)</f>
        <v>黃議德</v>
      </c>
      <c r="E160" s="19"/>
      <c r="F160" s="19"/>
      <c r="G160" s="19"/>
      <c r="H160" s="19"/>
      <c r="I160" s="19"/>
      <c r="J160" s="19"/>
      <c r="K160" s="19"/>
      <c r="L160" s="19"/>
      <c r="M160" s="19"/>
      <c r="N160" s="19"/>
      <c r="O160" s="19"/>
      <c r="P160" s="19"/>
      <c r="Q160" s="19"/>
      <c r="R160" s="19"/>
      <c r="S160" s="19"/>
      <c r="T160" s="19"/>
      <c r="U160" s="19"/>
      <c r="V160" s="19"/>
      <c r="W160" s="19"/>
      <c r="X160" s="19"/>
      <c r="Y160" s="19"/>
      <c r="Z160" s="19"/>
      <c r="AA160" s="19"/>
      <c r="AB160" s="19"/>
      <c r="AC160" s="19"/>
      <c r="AD160" s="19"/>
      <c r="AE160" s="19"/>
      <c r="AF160" s="19"/>
      <c r="AG160" s="19"/>
      <c r="AH160" s="19"/>
      <c r="AI160" s="19"/>
    </row>
    <row r="161" spans="1:35" x14ac:dyDescent="0.3">
      <c r="A161" s="2" t="str">
        <f>IF(IT名單!$A159="","",IT名單!$A159)</f>
        <v>資訊架構管理二部</v>
      </c>
      <c r="B161" s="2" t="str">
        <f>IF(IT名單!$B159="","",IT名單!$B159)</f>
        <v>資訊架構管理二部</v>
      </c>
      <c r="C161" s="16" t="str">
        <f>IF(IT名單!$C159="","",IT名單!$C159)</f>
        <v>IEC910102</v>
      </c>
      <c r="D161" s="18" t="str">
        <f>IF(IT名單!$D159="","",IT名單!$D159)</f>
        <v>楊文河</v>
      </c>
      <c r="E161" s="19"/>
      <c r="F161" s="19"/>
      <c r="G161" s="19"/>
      <c r="H161" s="19"/>
      <c r="I161" s="19"/>
      <c r="J161" s="19"/>
      <c r="K161" s="19"/>
      <c r="L161" s="19"/>
      <c r="M161" s="19"/>
      <c r="N161" s="19"/>
      <c r="O161" s="19"/>
      <c r="P161" s="19"/>
      <c r="Q161" s="19"/>
      <c r="R161" s="19"/>
      <c r="S161" s="19"/>
      <c r="T161" s="19"/>
      <c r="U161" s="19"/>
      <c r="V161" s="19"/>
      <c r="W161" s="19"/>
      <c r="X161" s="19"/>
      <c r="Y161" s="19"/>
      <c r="Z161" s="19"/>
      <c r="AA161" s="19"/>
      <c r="AB161" s="19"/>
      <c r="AC161" s="19"/>
      <c r="AD161" s="19"/>
      <c r="AE161" s="19"/>
      <c r="AF161" s="19"/>
      <c r="AG161" s="19"/>
      <c r="AH161" s="19"/>
      <c r="AI161" s="19"/>
    </row>
    <row r="162" spans="1:35" x14ac:dyDescent="0.3">
      <c r="A162" s="2" t="str">
        <f>IF(IT名單!$A160="","",IT名單!$A160)</f>
        <v>資訊架構管理二部</v>
      </c>
      <c r="B162" s="2" t="str">
        <f>IF(IT名單!$B160="","",IT名單!$B160)</f>
        <v>資訊架構管理二部</v>
      </c>
      <c r="C162" s="16" t="str">
        <f>IF(IT名單!$C160="","",IT名單!$C160)</f>
        <v>IEC910161</v>
      </c>
      <c r="D162" s="18" t="str">
        <f>IF(IT名單!$D160="","",IT名單!$D160)</f>
        <v>陳莉青</v>
      </c>
      <c r="E162" s="19"/>
      <c r="F162" s="19"/>
      <c r="G162" s="19"/>
      <c r="H162" s="19"/>
      <c r="I162" s="19"/>
      <c r="J162" s="19"/>
      <c r="K162" s="19"/>
      <c r="L162" s="19"/>
      <c r="M162" s="19"/>
      <c r="N162" s="19"/>
      <c r="O162" s="19"/>
      <c r="P162" s="19"/>
      <c r="Q162" s="19"/>
      <c r="R162" s="19"/>
      <c r="S162" s="19"/>
      <c r="T162" s="19"/>
      <c r="U162" s="19"/>
      <c r="V162" s="19"/>
      <c r="W162" s="19"/>
      <c r="X162" s="19"/>
      <c r="Y162" s="19"/>
      <c r="Z162" s="19"/>
      <c r="AA162" s="19"/>
      <c r="AB162" s="19"/>
      <c r="AC162" s="19"/>
      <c r="AD162" s="19"/>
      <c r="AE162" s="19"/>
      <c r="AF162" s="19"/>
      <c r="AG162" s="19"/>
      <c r="AH162" s="19"/>
      <c r="AI162" s="19"/>
    </row>
    <row r="163" spans="1:35" x14ac:dyDescent="0.3">
      <c r="A163" s="2" t="str">
        <f>IF(IT名單!$A161="","",IT名單!$A161)</f>
        <v>資訊架構管理二部</v>
      </c>
      <c r="B163" s="2" t="str">
        <f>IF(IT名單!$B161="","",IT名單!$B161)</f>
        <v>資訊架構管理二部</v>
      </c>
      <c r="C163" s="16" t="str">
        <f>IF(IT名單!$C161="","",IT名單!$C161)</f>
        <v>IEC910178</v>
      </c>
      <c r="D163" s="18" t="str">
        <f>IF(IT名單!$D161="","",IT名單!$D161)</f>
        <v>田淳允</v>
      </c>
      <c r="E163" s="19"/>
      <c r="F163" s="19"/>
      <c r="G163" s="19"/>
      <c r="H163" s="19"/>
      <c r="I163" s="19"/>
      <c r="J163" s="19"/>
      <c r="K163" s="19"/>
      <c r="L163" s="19"/>
      <c r="M163" s="19"/>
      <c r="N163" s="19"/>
      <c r="O163" s="19"/>
      <c r="P163" s="19"/>
      <c r="Q163" s="19"/>
      <c r="R163" s="19"/>
      <c r="S163" s="19"/>
      <c r="T163" s="19"/>
      <c r="U163" s="19"/>
      <c r="V163" s="19"/>
      <c r="W163" s="19"/>
      <c r="X163" s="19"/>
      <c r="Y163" s="19"/>
      <c r="Z163" s="19"/>
      <c r="AA163" s="19"/>
      <c r="AB163" s="19"/>
      <c r="AC163" s="19"/>
      <c r="AD163" s="19"/>
      <c r="AE163" s="19"/>
      <c r="AF163" s="19"/>
      <c r="AG163" s="19"/>
      <c r="AH163" s="19"/>
      <c r="AI163" s="19"/>
    </row>
    <row r="164" spans="1:35" x14ac:dyDescent="0.3">
      <c r="A164" s="2" t="str">
        <f>IF(IT名單!$A162="","",IT名單!$A162)</f>
        <v>資訊架構管理二部</v>
      </c>
      <c r="B164" s="2" t="str">
        <f>IF(IT名單!$B162="","",IT名單!$B162)</f>
        <v>資訊架構管理二部</v>
      </c>
      <c r="C164" s="16" t="str">
        <f>IF(IT名單!$C162="","",IT名單!$C162)</f>
        <v>IEC940508</v>
      </c>
      <c r="D164" s="18" t="str">
        <f>IF(IT名單!$D162="","",IT名單!$D162)</f>
        <v>許惠媛</v>
      </c>
      <c r="E164" s="19"/>
      <c r="F164" s="19"/>
      <c r="G164" s="19"/>
      <c r="H164" s="19"/>
      <c r="I164" s="19"/>
      <c r="J164" s="19"/>
      <c r="K164" s="19"/>
      <c r="L164" s="19"/>
      <c r="M164" s="19"/>
      <c r="N164" s="19"/>
      <c r="O164" s="19"/>
      <c r="P164" s="19"/>
      <c r="Q164" s="19"/>
      <c r="R164" s="19"/>
      <c r="S164" s="19"/>
      <c r="T164" s="19"/>
      <c r="U164" s="19"/>
      <c r="V164" s="19"/>
      <c r="W164" s="19"/>
      <c r="X164" s="19"/>
      <c r="Y164" s="19"/>
      <c r="Z164" s="19"/>
      <c r="AA164" s="19"/>
      <c r="AB164" s="19"/>
      <c r="AC164" s="19"/>
      <c r="AD164" s="19"/>
      <c r="AE164" s="19"/>
      <c r="AF164" s="19"/>
      <c r="AG164" s="19"/>
      <c r="AH164" s="19"/>
      <c r="AI164" s="19"/>
    </row>
    <row r="165" spans="1:35" x14ac:dyDescent="0.3">
      <c r="A165" s="2" t="str">
        <f>IF(IT名單!$A163="","",IT名單!$A163)</f>
        <v>資訊架構管理二部</v>
      </c>
      <c r="B165" s="2" t="str">
        <f>IF(IT名單!$B163="","",IT名單!$B163)</f>
        <v>資訊架構管理二部</v>
      </c>
      <c r="C165" s="16" t="str">
        <f>IF(IT名單!$C163="","",IT名單!$C163)</f>
        <v>IEC950779</v>
      </c>
      <c r="D165" s="18" t="str">
        <f>IF(IT名單!$D163="","",IT名單!$D163)</f>
        <v>簡慈慧</v>
      </c>
      <c r="E165" s="19"/>
      <c r="F165" s="19"/>
      <c r="G165" s="19"/>
      <c r="H165" s="19"/>
      <c r="I165" s="19"/>
      <c r="J165" s="19"/>
      <c r="K165" s="19"/>
      <c r="L165" s="19"/>
      <c r="M165" s="19"/>
      <c r="N165" s="19"/>
      <c r="O165" s="19"/>
      <c r="P165" s="19"/>
      <c r="Q165" s="19"/>
      <c r="R165" s="19"/>
      <c r="S165" s="19"/>
      <c r="T165" s="19"/>
      <c r="U165" s="19"/>
      <c r="V165" s="19"/>
      <c r="W165" s="19"/>
      <c r="X165" s="19"/>
      <c r="Y165" s="19"/>
      <c r="Z165" s="19"/>
      <c r="AA165" s="19"/>
      <c r="AB165" s="19"/>
      <c r="AC165" s="19"/>
      <c r="AD165" s="19"/>
      <c r="AE165" s="19"/>
      <c r="AF165" s="19"/>
      <c r="AG165" s="19"/>
      <c r="AH165" s="19"/>
      <c r="AI165" s="19"/>
    </row>
    <row r="166" spans="1:35" x14ac:dyDescent="0.3">
      <c r="A166" s="2" t="str">
        <f>IF(IT名單!$A164="","",IT名單!$A164)</f>
        <v/>
      </c>
      <c r="B166" s="2" t="str">
        <f>IF(IT名單!$B164="","",IT名單!$B164)</f>
        <v/>
      </c>
      <c r="C166" s="16" t="str">
        <f>IF(IT名單!$C164="","",IT名單!$C164)</f>
        <v/>
      </c>
      <c r="D166" s="18" t="str">
        <f>IF(IT名單!$D164="","",IT名單!$D164)</f>
        <v/>
      </c>
      <c r="E166" s="19"/>
      <c r="F166" s="19"/>
      <c r="G166" s="19"/>
      <c r="H166" s="19"/>
      <c r="I166" s="19"/>
      <c r="J166" s="19"/>
      <c r="K166" s="19"/>
      <c r="L166" s="19"/>
      <c r="M166" s="19"/>
      <c r="N166" s="19"/>
      <c r="O166" s="19"/>
      <c r="P166" s="19"/>
      <c r="Q166" s="19"/>
      <c r="R166" s="19"/>
      <c r="S166" s="19"/>
      <c r="T166" s="19"/>
      <c r="U166" s="19"/>
      <c r="V166" s="19"/>
      <c r="W166" s="19"/>
      <c r="X166" s="19"/>
      <c r="Y166" s="19"/>
      <c r="Z166" s="19"/>
      <c r="AA166" s="19"/>
      <c r="AB166" s="19"/>
      <c r="AC166" s="19"/>
      <c r="AD166" s="19"/>
      <c r="AE166" s="19"/>
      <c r="AF166" s="19"/>
      <c r="AG166" s="19"/>
      <c r="AH166" s="19"/>
      <c r="AI166" s="19"/>
    </row>
    <row r="167" spans="1:35" x14ac:dyDescent="0.3">
      <c r="A167" s="2" t="str">
        <f>IF(IT名單!$A165="","",IT名單!$A165)</f>
        <v/>
      </c>
      <c r="B167" s="2" t="str">
        <f>IF(IT名單!$B165="","",IT名單!$B165)</f>
        <v/>
      </c>
      <c r="C167" s="16" t="str">
        <f>IF(IT名單!$C165="","",IT名單!$C165)</f>
        <v/>
      </c>
      <c r="D167" s="18" t="str">
        <f>IF(IT名單!$D165="","",IT名單!$D165)</f>
        <v/>
      </c>
      <c r="E167" s="19"/>
      <c r="F167" s="19"/>
      <c r="G167" s="19"/>
      <c r="H167" s="19"/>
      <c r="I167" s="19"/>
      <c r="J167" s="19"/>
      <c r="K167" s="19"/>
      <c r="L167" s="19"/>
      <c r="M167" s="19"/>
      <c r="N167" s="19"/>
      <c r="O167" s="19"/>
      <c r="P167" s="19"/>
      <c r="Q167" s="19"/>
      <c r="R167" s="19"/>
      <c r="S167" s="19"/>
      <c r="T167" s="19"/>
      <c r="U167" s="19"/>
      <c r="V167" s="19"/>
      <c r="W167" s="19"/>
      <c r="X167" s="19"/>
      <c r="Y167" s="19"/>
      <c r="Z167" s="19"/>
      <c r="AA167" s="19"/>
      <c r="AB167" s="19"/>
      <c r="AC167" s="19"/>
      <c r="AD167" s="19"/>
      <c r="AE167" s="19"/>
      <c r="AF167" s="19"/>
      <c r="AG167" s="19"/>
      <c r="AH167" s="19"/>
      <c r="AI167" s="19"/>
    </row>
    <row r="168" spans="1:35" x14ac:dyDescent="0.3">
      <c r="A168" s="2" t="str">
        <f>IF(IT名單!$A166="","",IT名單!$A166)</f>
        <v/>
      </c>
      <c r="B168" s="2" t="str">
        <f>IF(IT名單!$B166="","",IT名單!$B166)</f>
        <v/>
      </c>
      <c r="C168" s="16" t="str">
        <f>IF(IT名單!$C166="","",IT名單!$C166)</f>
        <v/>
      </c>
      <c r="D168" s="18" t="str">
        <f>IF(IT名單!$D166="","",IT名單!$D166)</f>
        <v/>
      </c>
      <c r="E168" s="19"/>
      <c r="F168" s="19"/>
      <c r="G168" s="19"/>
      <c r="H168" s="19"/>
      <c r="I168" s="19"/>
      <c r="J168" s="19"/>
      <c r="K168" s="19"/>
      <c r="L168" s="19"/>
      <c r="M168" s="19"/>
      <c r="N168" s="19"/>
      <c r="O168" s="19"/>
      <c r="P168" s="19"/>
      <c r="Q168" s="19"/>
      <c r="R168" s="19"/>
      <c r="S168" s="19"/>
      <c r="T168" s="19"/>
      <c r="U168" s="19"/>
      <c r="V168" s="19"/>
      <c r="W168" s="19"/>
      <c r="X168" s="19"/>
      <c r="Y168" s="19"/>
      <c r="Z168" s="19"/>
      <c r="AA168" s="19"/>
      <c r="AB168" s="19"/>
      <c r="AC168" s="19"/>
      <c r="AD168" s="19"/>
      <c r="AE168" s="19"/>
      <c r="AF168" s="19"/>
      <c r="AG168" s="19"/>
      <c r="AH168" s="19"/>
      <c r="AI168" s="19"/>
    </row>
    <row r="169" spans="1:35" x14ac:dyDescent="0.3">
      <c r="A169" s="2" t="str">
        <f>IF(IT名單!$A167="","",IT名單!$A167)</f>
        <v/>
      </c>
      <c r="B169" s="2" t="str">
        <f>IF(IT名單!$B167="","",IT名單!$B167)</f>
        <v/>
      </c>
      <c r="C169" s="16" t="str">
        <f>IF(IT名單!$C167="","",IT名單!$C167)</f>
        <v/>
      </c>
      <c r="D169" s="18" t="str">
        <f>IF(IT名單!$D167="","",IT名單!$D167)</f>
        <v/>
      </c>
      <c r="E169" s="19"/>
      <c r="F169" s="19"/>
      <c r="G169" s="19"/>
      <c r="H169" s="19"/>
      <c r="I169" s="19"/>
      <c r="J169" s="19"/>
      <c r="K169" s="19"/>
      <c r="L169" s="19"/>
      <c r="M169" s="19"/>
      <c r="N169" s="19"/>
      <c r="O169" s="19"/>
      <c r="P169" s="19"/>
      <c r="Q169" s="19"/>
      <c r="R169" s="19"/>
      <c r="S169" s="19"/>
      <c r="T169" s="19"/>
      <c r="U169" s="19"/>
      <c r="V169" s="19"/>
      <c r="W169" s="19"/>
      <c r="X169" s="19"/>
      <c r="Y169" s="19"/>
      <c r="Z169" s="19"/>
      <c r="AA169" s="19"/>
      <c r="AB169" s="19"/>
      <c r="AC169" s="19"/>
      <c r="AD169" s="19"/>
      <c r="AE169" s="19"/>
      <c r="AF169" s="19"/>
      <c r="AG169" s="19"/>
      <c r="AH169" s="19"/>
      <c r="AI169" s="19"/>
    </row>
    <row r="170" spans="1:35" x14ac:dyDescent="0.3">
      <c r="A170" s="2" t="str">
        <f>IF(IT名單!$A168="","",IT名單!$A168)</f>
        <v/>
      </c>
      <c r="B170" s="2" t="str">
        <f>IF(IT名單!$B168="","",IT名單!$B168)</f>
        <v/>
      </c>
      <c r="C170" s="16" t="str">
        <f>IF(IT名單!$C168="","",IT名單!$C168)</f>
        <v/>
      </c>
      <c r="D170" s="18" t="str">
        <f>IF(IT名單!$D168="","",IT名單!$D168)</f>
        <v/>
      </c>
      <c r="E170" s="19"/>
      <c r="F170" s="19"/>
      <c r="G170" s="19"/>
      <c r="H170" s="19"/>
      <c r="I170" s="19"/>
      <c r="J170" s="19"/>
      <c r="K170" s="19"/>
      <c r="L170" s="19"/>
      <c r="M170" s="19"/>
      <c r="N170" s="19"/>
      <c r="O170" s="19"/>
      <c r="P170" s="19"/>
      <c r="Q170" s="19"/>
      <c r="R170" s="19"/>
      <c r="S170" s="19"/>
      <c r="T170" s="19"/>
      <c r="U170" s="19"/>
      <c r="V170" s="19"/>
      <c r="W170" s="19"/>
      <c r="X170" s="19"/>
      <c r="Y170" s="19"/>
      <c r="Z170" s="19"/>
      <c r="AA170" s="19"/>
      <c r="AB170" s="19"/>
      <c r="AC170" s="19"/>
      <c r="AD170" s="19"/>
      <c r="AE170" s="19"/>
      <c r="AF170" s="19"/>
      <c r="AG170" s="19"/>
      <c r="AH170" s="19"/>
      <c r="AI170" s="19"/>
    </row>
    <row r="171" spans="1:35" x14ac:dyDescent="0.3">
      <c r="A171" s="2" t="str">
        <f>IF(IT名單!$A169="","",IT名單!$A169)</f>
        <v/>
      </c>
      <c r="B171" s="2" t="str">
        <f>IF(IT名單!$B169="","",IT名單!$B169)</f>
        <v/>
      </c>
      <c r="C171" s="16" t="str">
        <f>IF(IT名單!$C169="","",IT名單!$C169)</f>
        <v/>
      </c>
      <c r="D171" s="18" t="str">
        <f>IF(IT名單!$D169="","",IT名單!$D169)</f>
        <v/>
      </c>
      <c r="E171" s="19"/>
      <c r="F171" s="19"/>
      <c r="G171" s="19"/>
      <c r="H171" s="19"/>
      <c r="I171" s="19"/>
      <c r="J171" s="19"/>
      <c r="K171" s="19"/>
      <c r="L171" s="19"/>
      <c r="M171" s="19"/>
      <c r="N171" s="19"/>
      <c r="O171" s="19"/>
      <c r="P171" s="19"/>
      <c r="Q171" s="19"/>
      <c r="R171" s="19"/>
      <c r="S171" s="19"/>
      <c r="T171" s="19"/>
      <c r="U171" s="19"/>
      <c r="V171" s="19"/>
      <c r="W171" s="19"/>
      <c r="X171" s="19"/>
      <c r="Y171" s="19"/>
      <c r="Z171" s="19"/>
      <c r="AA171" s="19"/>
      <c r="AB171" s="19"/>
      <c r="AC171" s="19"/>
      <c r="AD171" s="19"/>
      <c r="AE171" s="19"/>
      <c r="AF171" s="19"/>
      <c r="AG171" s="19"/>
      <c r="AH171" s="19"/>
      <c r="AI171" s="19"/>
    </row>
    <row r="172" spans="1:35" x14ac:dyDescent="0.3">
      <c r="A172" s="2" t="str">
        <f>IF(IT名單!$A170="","",IT名單!$A170)</f>
        <v/>
      </c>
      <c r="B172" s="2" t="str">
        <f>IF(IT名單!$B170="","",IT名單!$B170)</f>
        <v/>
      </c>
      <c r="C172" s="16" t="str">
        <f>IF(IT名單!$C170="","",IT名單!$C170)</f>
        <v/>
      </c>
      <c r="D172" s="18" t="str">
        <f>IF(IT名單!$D170="","",IT名單!$D170)</f>
        <v/>
      </c>
      <c r="E172" s="19"/>
      <c r="F172" s="19"/>
      <c r="G172" s="19"/>
      <c r="H172" s="19"/>
      <c r="I172" s="19"/>
      <c r="J172" s="19"/>
      <c r="K172" s="19"/>
      <c r="L172" s="19"/>
      <c r="M172" s="19"/>
      <c r="N172" s="19"/>
      <c r="O172" s="19"/>
      <c r="P172" s="19"/>
      <c r="Q172" s="19"/>
      <c r="R172" s="19"/>
      <c r="S172" s="19"/>
      <c r="T172" s="19"/>
      <c r="U172" s="19"/>
      <c r="V172" s="19"/>
      <c r="W172" s="19"/>
      <c r="X172" s="19"/>
      <c r="Y172" s="19"/>
      <c r="Z172" s="19"/>
      <c r="AA172" s="19"/>
      <c r="AB172" s="19"/>
      <c r="AC172" s="19"/>
      <c r="AD172" s="19"/>
      <c r="AE172" s="19"/>
      <c r="AF172" s="19"/>
      <c r="AG172" s="19"/>
      <c r="AH172" s="19"/>
      <c r="AI172" s="19"/>
    </row>
    <row r="173" spans="1:35" x14ac:dyDescent="0.3">
      <c r="A173" s="2" t="str">
        <f>IF(IT名單!$A171="","",IT名單!$A171)</f>
        <v/>
      </c>
      <c r="B173" s="2" t="str">
        <f>IF(IT名單!$B171="","",IT名單!$B171)</f>
        <v/>
      </c>
      <c r="C173" s="16" t="str">
        <f>IF(IT名單!$C171="","",IT名單!$C171)</f>
        <v/>
      </c>
      <c r="D173" s="18" t="str">
        <f>IF(IT名單!$D171="","",IT名單!$D171)</f>
        <v/>
      </c>
      <c r="E173" s="19"/>
      <c r="F173" s="19"/>
      <c r="G173" s="19"/>
      <c r="H173" s="19"/>
      <c r="I173" s="19"/>
      <c r="J173" s="19"/>
      <c r="K173" s="19"/>
      <c r="L173" s="19"/>
      <c r="M173" s="19"/>
      <c r="N173" s="19"/>
      <c r="O173" s="19"/>
      <c r="P173" s="19"/>
      <c r="Q173" s="19"/>
      <c r="R173" s="19"/>
      <c r="S173" s="19"/>
      <c r="T173" s="19"/>
      <c r="U173" s="19"/>
      <c r="V173" s="19"/>
      <c r="W173" s="19"/>
      <c r="X173" s="19"/>
      <c r="Y173" s="19"/>
      <c r="Z173" s="19"/>
      <c r="AA173" s="19"/>
      <c r="AB173" s="19"/>
      <c r="AC173" s="19"/>
      <c r="AD173" s="19"/>
      <c r="AE173" s="19"/>
      <c r="AF173" s="19"/>
      <c r="AG173" s="19"/>
      <c r="AH173" s="19"/>
      <c r="AI173" s="19"/>
    </row>
    <row r="174" spans="1:35" x14ac:dyDescent="0.3">
      <c r="A174" s="2" t="str">
        <f>IF(IT名單!$A172="","",IT名單!$A172)</f>
        <v/>
      </c>
      <c r="B174" s="2" t="str">
        <f>IF(IT名單!$B172="","",IT名單!$B172)</f>
        <v/>
      </c>
      <c r="C174" s="16" t="str">
        <f>IF(IT名單!$C172="","",IT名單!$C172)</f>
        <v/>
      </c>
      <c r="D174" s="18" t="str">
        <f>IF(IT名單!$D172="","",IT名單!$D172)</f>
        <v/>
      </c>
      <c r="E174" s="19"/>
      <c r="F174" s="19"/>
      <c r="G174" s="19"/>
      <c r="H174" s="19"/>
      <c r="I174" s="19"/>
      <c r="J174" s="19"/>
      <c r="K174" s="19"/>
      <c r="L174" s="19"/>
      <c r="M174" s="19"/>
      <c r="N174" s="19"/>
      <c r="O174" s="19"/>
      <c r="P174" s="19"/>
      <c r="Q174" s="19"/>
      <c r="R174" s="19"/>
      <c r="S174" s="19"/>
      <c r="T174" s="19"/>
      <c r="U174" s="19"/>
      <c r="V174" s="19"/>
      <c r="W174" s="19"/>
      <c r="X174" s="19"/>
      <c r="Y174" s="19"/>
      <c r="Z174" s="19"/>
      <c r="AA174" s="19"/>
      <c r="AB174" s="19"/>
      <c r="AC174" s="19"/>
      <c r="AD174" s="19"/>
      <c r="AE174" s="19"/>
      <c r="AF174" s="19"/>
      <c r="AG174" s="19"/>
      <c r="AH174" s="19"/>
      <c r="AI174" s="19"/>
    </row>
    <row r="175" spans="1:35" x14ac:dyDescent="0.3">
      <c r="A175" s="2" t="str">
        <f>IF(IT名單!$A173="","",IT名單!$A173)</f>
        <v/>
      </c>
      <c r="B175" s="2" t="str">
        <f>IF(IT名單!$B173="","",IT名單!$B173)</f>
        <v/>
      </c>
      <c r="C175" s="16" t="str">
        <f>IF(IT名單!$C173="","",IT名單!$C173)</f>
        <v/>
      </c>
      <c r="D175" s="18" t="str">
        <f>IF(IT名單!$D173="","",IT名單!$D173)</f>
        <v/>
      </c>
      <c r="E175" s="19"/>
      <c r="F175" s="19"/>
      <c r="G175" s="19"/>
      <c r="H175" s="19"/>
      <c r="I175" s="19"/>
      <c r="J175" s="19"/>
      <c r="K175" s="19"/>
      <c r="L175" s="19"/>
      <c r="M175" s="19"/>
      <c r="N175" s="19"/>
      <c r="O175" s="19"/>
      <c r="P175" s="19"/>
      <c r="Q175" s="19"/>
      <c r="R175" s="19"/>
      <c r="S175" s="19"/>
      <c r="T175" s="19"/>
      <c r="U175" s="19"/>
      <c r="V175" s="19"/>
      <c r="W175" s="19"/>
      <c r="X175" s="19"/>
      <c r="Y175" s="19"/>
      <c r="Z175" s="19"/>
      <c r="AA175" s="19"/>
      <c r="AB175" s="19"/>
      <c r="AC175" s="19"/>
      <c r="AD175" s="19"/>
      <c r="AE175" s="19"/>
      <c r="AF175" s="19"/>
      <c r="AG175" s="19"/>
      <c r="AH175" s="19"/>
      <c r="AI175" s="19"/>
    </row>
    <row r="176" spans="1:35" x14ac:dyDescent="0.3">
      <c r="A176" s="2" t="str">
        <f>IF(IT名單!$A174="","",IT名單!$A174)</f>
        <v/>
      </c>
      <c r="B176" s="2" t="str">
        <f>IF(IT名單!$B174="","",IT名單!$B174)</f>
        <v/>
      </c>
      <c r="C176" s="16" t="str">
        <f>IF(IT名單!$C174="","",IT名單!$C174)</f>
        <v/>
      </c>
      <c r="D176" s="18" t="str">
        <f>IF(IT名單!$D174="","",IT名單!$D174)</f>
        <v/>
      </c>
      <c r="E176" s="19"/>
      <c r="F176" s="19"/>
      <c r="G176" s="19"/>
      <c r="H176" s="19"/>
      <c r="I176" s="19"/>
      <c r="J176" s="19"/>
      <c r="K176" s="19"/>
      <c r="L176" s="19"/>
      <c r="M176" s="19"/>
      <c r="N176" s="19"/>
      <c r="O176" s="19"/>
      <c r="P176" s="19"/>
      <c r="Q176" s="19"/>
      <c r="R176" s="19"/>
      <c r="S176" s="19"/>
      <c r="T176" s="19"/>
      <c r="U176" s="19"/>
      <c r="V176" s="19"/>
      <c r="W176" s="19"/>
      <c r="X176" s="19"/>
      <c r="Y176" s="19"/>
      <c r="Z176" s="19"/>
      <c r="AA176" s="19"/>
      <c r="AB176" s="19"/>
      <c r="AC176" s="19"/>
      <c r="AD176" s="19"/>
      <c r="AE176" s="19"/>
      <c r="AF176" s="19"/>
      <c r="AG176" s="19"/>
      <c r="AH176" s="19"/>
      <c r="AI176" s="19"/>
    </row>
    <row r="177" spans="1:35" x14ac:dyDescent="0.3">
      <c r="A177" s="2" t="str">
        <f>IF(IT名單!$A175="","",IT名單!$A175)</f>
        <v/>
      </c>
      <c r="B177" s="2" t="str">
        <f>IF(IT名單!$B175="","",IT名單!$B175)</f>
        <v/>
      </c>
      <c r="C177" s="16" t="str">
        <f>IF(IT名單!$C175="","",IT名單!$C175)</f>
        <v/>
      </c>
      <c r="D177" s="18" t="str">
        <f>IF(IT名單!$D175="","",IT名單!$D175)</f>
        <v/>
      </c>
      <c r="E177" s="19"/>
      <c r="F177" s="19"/>
      <c r="G177" s="19"/>
      <c r="H177" s="19"/>
      <c r="I177" s="19"/>
      <c r="J177" s="19"/>
      <c r="K177" s="19"/>
      <c r="L177" s="19"/>
      <c r="M177" s="19"/>
      <c r="N177" s="19"/>
      <c r="O177" s="19"/>
      <c r="P177" s="19"/>
      <c r="Q177" s="19"/>
      <c r="R177" s="19"/>
      <c r="S177" s="19"/>
      <c r="T177" s="19"/>
      <c r="U177" s="19"/>
      <c r="V177" s="19"/>
      <c r="W177" s="19"/>
      <c r="X177" s="19"/>
      <c r="Y177" s="19"/>
      <c r="Z177" s="19"/>
      <c r="AA177" s="19"/>
      <c r="AB177" s="19"/>
      <c r="AC177" s="19"/>
      <c r="AD177" s="19"/>
      <c r="AE177" s="19"/>
      <c r="AF177" s="19"/>
      <c r="AG177" s="19"/>
      <c r="AH177" s="19"/>
      <c r="AI177" s="19"/>
    </row>
    <row r="178" spans="1:35" x14ac:dyDescent="0.3">
      <c r="A178" s="2" t="str">
        <f>IF(IT名單!$A176="","",IT名單!$A176)</f>
        <v/>
      </c>
      <c r="B178" s="2" t="str">
        <f>IF(IT名單!$B176="","",IT名單!$B176)</f>
        <v/>
      </c>
      <c r="C178" s="16" t="str">
        <f>IF(IT名單!$C176="","",IT名單!$C176)</f>
        <v/>
      </c>
      <c r="D178" s="18" t="str">
        <f>IF(IT名單!$D176="","",IT名單!$D176)</f>
        <v/>
      </c>
      <c r="E178" s="19"/>
      <c r="F178" s="19"/>
      <c r="G178" s="19"/>
      <c r="H178" s="19"/>
      <c r="I178" s="19"/>
      <c r="J178" s="19"/>
      <c r="K178" s="19"/>
      <c r="L178" s="19"/>
      <c r="M178" s="19"/>
      <c r="N178" s="19"/>
      <c r="O178" s="19"/>
      <c r="P178" s="19"/>
      <c r="Q178" s="19"/>
      <c r="R178" s="19"/>
      <c r="S178" s="19"/>
      <c r="T178" s="19"/>
      <c r="U178" s="19"/>
      <c r="V178" s="19"/>
      <c r="W178" s="19"/>
      <c r="X178" s="19"/>
      <c r="Y178" s="19"/>
      <c r="Z178" s="19"/>
      <c r="AA178" s="19"/>
      <c r="AB178" s="19"/>
      <c r="AC178" s="19"/>
      <c r="AD178" s="19"/>
      <c r="AE178" s="19"/>
      <c r="AF178" s="19"/>
      <c r="AG178" s="19"/>
      <c r="AH178" s="19"/>
      <c r="AI178" s="19"/>
    </row>
    <row r="179" spans="1:35" x14ac:dyDescent="0.3">
      <c r="A179" s="2" t="str">
        <f>IF(IT名單!$A177="","",IT名單!$A177)</f>
        <v/>
      </c>
      <c r="B179" s="2" t="str">
        <f>IF(IT名單!$B177="","",IT名單!$B177)</f>
        <v/>
      </c>
      <c r="C179" s="16" t="str">
        <f>IF(IT名單!$C177="","",IT名單!$C177)</f>
        <v/>
      </c>
      <c r="D179" s="18" t="str">
        <f>IF(IT名單!$D177="","",IT名單!$D177)</f>
        <v/>
      </c>
      <c r="E179" s="19"/>
      <c r="F179" s="19"/>
      <c r="G179" s="19"/>
      <c r="H179" s="19"/>
      <c r="I179" s="19"/>
      <c r="J179" s="19"/>
      <c r="K179" s="19"/>
      <c r="L179" s="19"/>
      <c r="M179" s="19"/>
      <c r="N179" s="19"/>
      <c r="O179" s="19"/>
      <c r="P179" s="19"/>
      <c r="Q179" s="19"/>
      <c r="R179" s="19"/>
      <c r="S179" s="19"/>
      <c r="T179" s="19"/>
      <c r="U179" s="19"/>
      <c r="V179" s="19"/>
      <c r="W179" s="19"/>
      <c r="X179" s="19"/>
      <c r="Y179" s="19"/>
      <c r="Z179" s="19"/>
      <c r="AA179" s="19"/>
      <c r="AB179" s="19"/>
      <c r="AC179" s="19"/>
      <c r="AD179" s="19"/>
      <c r="AE179" s="19"/>
      <c r="AF179" s="19"/>
      <c r="AG179" s="19"/>
      <c r="AH179" s="19"/>
      <c r="AI179" s="19"/>
    </row>
    <row r="180" spans="1:35" x14ac:dyDescent="0.3">
      <c r="A180" s="2" t="str">
        <f>IF(IT名單!$A178="","",IT名單!$A178)</f>
        <v/>
      </c>
      <c r="B180" s="2" t="str">
        <f>IF(IT名單!$B178="","",IT名單!$B178)</f>
        <v/>
      </c>
      <c r="C180" s="16" t="str">
        <f>IF(IT名單!$C178="","",IT名單!$C178)</f>
        <v/>
      </c>
      <c r="D180" s="18" t="str">
        <f>IF(IT名單!$D178="","",IT名單!$D178)</f>
        <v/>
      </c>
      <c r="E180" s="19"/>
      <c r="F180" s="19"/>
      <c r="G180" s="19"/>
      <c r="H180" s="19"/>
      <c r="I180" s="19"/>
      <c r="J180" s="19"/>
      <c r="K180" s="19"/>
      <c r="L180" s="19"/>
      <c r="M180" s="19"/>
      <c r="N180" s="19"/>
      <c r="O180" s="19"/>
      <c r="P180" s="19"/>
      <c r="Q180" s="19"/>
      <c r="R180" s="19"/>
      <c r="S180" s="19"/>
      <c r="T180" s="19"/>
      <c r="U180" s="19"/>
      <c r="V180" s="19"/>
      <c r="W180" s="19"/>
      <c r="X180" s="19"/>
      <c r="Y180" s="19"/>
      <c r="Z180" s="19"/>
      <c r="AA180" s="19"/>
      <c r="AB180" s="19"/>
      <c r="AC180" s="19"/>
      <c r="AD180" s="19"/>
      <c r="AE180" s="19"/>
      <c r="AF180" s="19"/>
      <c r="AG180" s="19"/>
      <c r="AH180" s="19"/>
      <c r="AI180" s="19"/>
    </row>
    <row r="181" spans="1:35" x14ac:dyDescent="0.3">
      <c r="A181" s="2" t="str">
        <f>IF(IT名單!$A179="","",IT名單!$A179)</f>
        <v/>
      </c>
      <c r="B181" s="2" t="str">
        <f>IF(IT名單!$B179="","",IT名單!$B179)</f>
        <v/>
      </c>
      <c r="C181" s="16" t="str">
        <f>IF(IT名單!$C179="","",IT名單!$C179)</f>
        <v/>
      </c>
      <c r="D181" s="18" t="str">
        <f>IF(IT名單!$D179="","",IT名單!$D179)</f>
        <v/>
      </c>
      <c r="E181" s="19"/>
      <c r="F181" s="19"/>
      <c r="G181" s="19"/>
      <c r="H181" s="19"/>
      <c r="I181" s="19"/>
      <c r="J181" s="19"/>
      <c r="K181" s="19"/>
      <c r="L181" s="19"/>
      <c r="M181" s="19"/>
      <c r="N181" s="19"/>
      <c r="O181" s="19"/>
      <c r="P181" s="19"/>
      <c r="Q181" s="19"/>
      <c r="R181" s="19"/>
      <c r="S181" s="19"/>
      <c r="T181" s="19"/>
      <c r="U181" s="19"/>
      <c r="V181" s="19"/>
      <c r="W181" s="19"/>
      <c r="X181" s="19"/>
      <c r="Y181" s="19"/>
      <c r="Z181" s="19"/>
      <c r="AA181" s="19"/>
      <c r="AB181" s="19"/>
      <c r="AC181" s="19"/>
      <c r="AD181" s="19"/>
      <c r="AE181" s="19"/>
      <c r="AF181" s="19"/>
      <c r="AG181" s="19"/>
      <c r="AH181" s="19"/>
      <c r="AI181" s="19"/>
    </row>
    <row r="182" spans="1:35" x14ac:dyDescent="0.3">
      <c r="A182" s="2" t="str">
        <f>IF(IT名單!$A180="","",IT名單!$A180)</f>
        <v/>
      </c>
      <c r="B182" s="2" t="str">
        <f>IF(IT名單!$B180="","",IT名單!$B180)</f>
        <v/>
      </c>
      <c r="C182" s="16" t="str">
        <f>IF(IT名單!$C180="","",IT名單!$C180)</f>
        <v/>
      </c>
      <c r="D182" s="18" t="str">
        <f>IF(IT名單!$D180="","",IT名單!$D180)</f>
        <v/>
      </c>
      <c r="E182" s="19"/>
      <c r="F182" s="19"/>
      <c r="G182" s="19"/>
      <c r="H182" s="19"/>
      <c r="I182" s="19"/>
      <c r="J182" s="19"/>
      <c r="K182" s="19"/>
      <c r="L182" s="19"/>
      <c r="M182" s="19"/>
      <c r="N182" s="19"/>
      <c r="O182" s="19"/>
      <c r="P182" s="19"/>
      <c r="Q182" s="19"/>
      <c r="R182" s="19"/>
      <c r="S182" s="19"/>
      <c r="T182" s="19"/>
      <c r="U182" s="19"/>
      <c r="V182" s="19"/>
      <c r="W182" s="19"/>
      <c r="X182" s="19"/>
      <c r="Y182" s="19"/>
      <c r="Z182" s="19"/>
      <c r="AA182" s="19"/>
      <c r="AB182" s="19"/>
      <c r="AC182" s="19"/>
      <c r="AD182" s="19"/>
      <c r="AE182" s="19"/>
      <c r="AF182" s="19"/>
      <c r="AG182" s="19"/>
      <c r="AH182" s="19"/>
      <c r="AI182" s="19"/>
    </row>
    <row r="183" spans="1:35" x14ac:dyDescent="0.3">
      <c r="A183" s="2" t="str">
        <f>IF(IT名單!$A181="","",IT名單!$A181)</f>
        <v/>
      </c>
      <c r="B183" s="2" t="str">
        <f>IF(IT名單!$B181="","",IT名單!$B181)</f>
        <v/>
      </c>
      <c r="C183" s="16" t="str">
        <f>IF(IT名單!$C181="","",IT名單!$C181)</f>
        <v/>
      </c>
      <c r="D183" s="18" t="str">
        <f>IF(IT名單!$D181="","",IT名單!$D181)</f>
        <v/>
      </c>
      <c r="E183" s="19"/>
      <c r="F183" s="19"/>
      <c r="G183" s="19"/>
      <c r="H183" s="19"/>
      <c r="I183" s="19"/>
      <c r="J183" s="19"/>
      <c r="K183" s="19"/>
      <c r="L183" s="19"/>
      <c r="M183" s="19"/>
      <c r="N183" s="19"/>
      <c r="O183" s="19"/>
      <c r="P183" s="19"/>
      <c r="Q183" s="19"/>
      <c r="R183" s="19"/>
      <c r="S183" s="19"/>
      <c r="T183" s="19"/>
      <c r="U183" s="19"/>
      <c r="V183" s="19"/>
      <c r="W183" s="19"/>
      <c r="X183" s="19"/>
      <c r="Y183" s="19"/>
      <c r="Z183" s="19"/>
      <c r="AA183" s="19"/>
      <c r="AB183" s="19"/>
      <c r="AC183" s="19"/>
      <c r="AD183" s="19"/>
      <c r="AE183" s="19"/>
      <c r="AF183" s="19"/>
      <c r="AG183" s="19"/>
      <c r="AH183" s="19"/>
      <c r="AI183" s="19"/>
    </row>
    <row r="184" spans="1:35" x14ac:dyDescent="0.3">
      <c r="A184" s="2" t="str">
        <f>IF(IT名單!$A182="","",IT名單!$A182)</f>
        <v/>
      </c>
      <c r="B184" s="2" t="str">
        <f>IF(IT名單!$B182="","",IT名單!$B182)</f>
        <v/>
      </c>
      <c r="C184" s="16" t="str">
        <f>IF(IT名單!$C182="","",IT名單!$C182)</f>
        <v/>
      </c>
      <c r="D184" s="18" t="str">
        <f>IF(IT名單!$D182="","",IT名單!$D182)</f>
        <v/>
      </c>
      <c r="E184" s="19"/>
      <c r="F184" s="19"/>
      <c r="G184" s="19"/>
      <c r="H184" s="19"/>
      <c r="I184" s="19"/>
      <c r="J184" s="19"/>
      <c r="K184" s="19"/>
      <c r="L184" s="19"/>
      <c r="M184" s="19"/>
      <c r="N184" s="19"/>
      <c r="O184" s="19"/>
      <c r="P184" s="19"/>
      <c r="Q184" s="19"/>
      <c r="R184" s="19"/>
      <c r="S184" s="19"/>
      <c r="T184" s="19"/>
      <c r="U184" s="19"/>
      <c r="V184" s="19"/>
      <c r="W184" s="19"/>
      <c r="X184" s="19"/>
      <c r="Y184" s="19"/>
      <c r="Z184" s="19"/>
      <c r="AA184" s="19"/>
      <c r="AB184" s="19"/>
      <c r="AC184" s="19"/>
      <c r="AD184" s="19"/>
      <c r="AE184" s="19"/>
      <c r="AF184" s="19"/>
      <c r="AG184" s="19"/>
      <c r="AH184" s="19"/>
      <c r="AI184" s="19"/>
    </row>
    <row r="185" spans="1:35" x14ac:dyDescent="0.3">
      <c r="A185" s="2" t="str">
        <f>IF(IT名單!$A183="","",IT名單!$A183)</f>
        <v/>
      </c>
      <c r="B185" s="2" t="str">
        <f>IF(IT名單!$B183="","",IT名單!$B183)</f>
        <v/>
      </c>
      <c r="C185" s="16" t="str">
        <f>IF(IT名單!$C183="","",IT名單!$C183)</f>
        <v/>
      </c>
      <c r="D185" s="18" t="str">
        <f>IF(IT名單!$D183="","",IT名單!$D183)</f>
        <v/>
      </c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19"/>
      <c r="T185" s="19"/>
      <c r="U185" s="19"/>
      <c r="V185" s="19"/>
      <c r="W185" s="19"/>
      <c r="X185" s="19"/>
      <c r="Y185" s="19"/>
      <c r="Z185" s="19"/>
      <c r="AA185" s="19"/>
      <c r="AB185" s="19"/>
      <c r="AC185" s="19"/>
      <c r="AD185" s="19"/>
      <c r="AE185" s="19"/>
      <c r="AF185" s="19"/>
      <c r="AG185" s="19"/>
      <c r="AH185" s="19"/>
      <c r="AI185" s="19"/>
    </row>
    <row r="186" spans="1:35" x14ac:dyDescent="0.3">
      <c r="A186" s="2" t="str">
        <f>IF(IT名單!$A184="","",IT名單!$A184)</f>
        <v/>
      </c>
      <c r="B186" s="2" t="str">
        <f>IF(IT名單!$B184="","",IT名單!$B184)</f>
        <v/>
      </c>
      <c r="C186" s="16" t="str">
        <f>IF(IT名單!$C184="","",IT名單!$C184)</f>
        <v/>
      </c>
      <c r="D186" s="18" t="str">
        <f>IF(IT名單!$D184="","",IT名單!$D184)</f>
        <v/>
      </c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19"/>
      <c r="T186" s="19"/>
      <c r="U186" s="19"/>
      <c r="V186" s="19"/>
      <c r="W186" s="19"/>
      <c r="X186" s="19"/>
      <c r="Y186" s="19"/>
      <c r="Z186" s="19"/>
      <c r="AA186" s="19"/>
      <c r="AB186" s="19"/>
      <c r="AC186" s="19"/>
      <c r="AD186" s="19"/>
      <c r="AE186" s="19"/>
      <c r="AF186" s="19"/>
      <c r="AG186" s="19"/>
      <c r="AH186" s="19"/>
      <c r="AI186" s="19"/>
    </row>
    <row r="187" spans="1:35" x14ac:dyDescent="0.3">
      <c r="A187" s="2" t="str">
        <f>IF(IT名單!$A185="","",IT名單!$A185)</f>
        <v/>
      </c>
      <c r="B187" s="2" t="str">
        <f>IF(IT名單!$B185="","",IT名單!$B185)</f>
        <v/>
      </c>
      <c r="C187" s="16" t="str">
        <f>IF(IT名單!$C185="","",IT名單!$C185)</f>
        <v/>
      </c>
      <c r="D187" s="18" t="str">
        <f>IF(IT名單!$D185="","",IT名單!$D185)</f>
        <v/>
      </c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19"/>
      <c r="T187" s="19"/>
      <c r="U187" s="19"/>
      <c r="V187" s="19"/>
      <c r="W187" s="19"/>
      <c r="X187" s="19"/>
      <c r="Y187" s="19"/>
      <c r="Z187" s="19"/>
      <c r="AA187" s="19"/>
      <c r="AB187" s="19"/>
      <c r="AC187" s="19"/>
      <c r="AD187" s="19"/>
      <c r="AE187" s="19"/>
      <c r="AF187" s="19"/>
      <c r="AG187" s="19"/>
      <c r="AH187" s="19"/>
      <c r="AI187" s="19"/>
    </row>
    <row r="188" spans="1:35" x14ac:dyDescent="0.3">
      <c r="A188" s="2" t="str">
        <f>IF(IT名單!$A186="","",IT名單!$A186)</f>
        <v/>
      </c>
      <c r="B188" s="2" t="str">
        <f>IF(IT名單!$B186="","",IT名單!$B186)</f>
        <v/>
      </c>
      <c r="C188" s="16" t="str">
        <f>IF(IT名單!$C186="","",IT名單!$C186)</f>
        <v/>
      </c>
      <c r="D188" s="18" t="str">
        <f>IF(IT名單!$D186="","",IT名單!$D186)</f>
        <v/>
      </c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19"/>
      <c r="T188" s="19"/>
      <c r="U188" s="19"/>
      <c r="V188" s="19"/>
      <c r="W188" s="19"/>
      <c r="X188" s="19"/>
      <c r="Y188" s="19"/>
      <c r="Z188" s="19"/>
      <c r="AA188" s="19"/>
      <c r="AB188" s="19"/>
      <c r="AC188" s="19"/>
      <c r="AD188" s="19"/>
      <c r="AE188" s="19"/>
      <c r="AF188" s="19"/>
      <c r="AG188" s="19"/>
      <c r="AH188" s="19"/>
      <c r="AI188" s="19"/>
    </row>
    <row r="189" spans="1:35" x14ac:dyDescent="0.3">
      <c r="A189" s="2" t="str">
        <f>IF(IT名單!$A187="","",IT名單!$A187)</f>
        <v/>
      </c>
      <c r="B189" s="2" t="str">
        <f>IF(IT名單!$B187="","",IT名單!$B187)</f>
        <v/>
      </c>
      <c r="C189" s="16" t="str">
        <f>IF(IT名單!$C187="","",IT名單!$C187)</f>
        <v/>
      </c>
      <c r="D189" s="18" t="str">
        <f>IF(IT名單!$D187="","",IT名單!$D187)</f>
        <v/>
      </c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19"/>
      <c r="T189" s="19"/>
      <c r="U189" s="19"/>
      <c r="V189" s="19"/>
      <c r="W189" s="19"/>
      <c r="X189" s="19"/>
      <c r="Y189" s="19"/>
      <c r="Z189" s="19"/>
      <c r="AA189" s="19"/>
      <c r="AB189" s="19"/>
      <c r="AC189" s="19"/>
      <c r="AD189" s="19"/>
      <c r="AE189" s="19"/>
      <c r="AF189" s="19"/>
      <c r="AG189" s="19"/>
      <c r="AH189" s="19"/>
      <c r="AI189" s="19"/>
    </row>
    <row r="190" spans="1:35" x14ac:dyDescent="0.3">
      <c r="A190" s="2" t="str">
        <f>IF(IT名單!$A188="","",IT名單!$A188)</f>
        <v/>
      </c>
      <c r="B190" s="2" t="str">
        <f>IF(IT名單!$B188="","",IT名單!$B188)</f>
        <v/>
      </c>
      <c r="C190" s="16" t="str">
        <f>IF(IT名單!$C188="","",IT名單!$C188)</f>
        <v/>
      </c>
      <c r="D190" s="18" t="str">
        <f>IF(IT名單!$D188="","",IT名單!$D188)</f>
        <v/>
      </c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19"/>
      <c r="T190" s="19"/>
      <c r="U190" s="19"/>
      <c r="V190" s="19"/>
      <c r="W190" s="19"/>
      <c r="X190" s="19"/>
      <c r="Y190" s="19"/>
      <c r="Z190" s="19"/>
      <c r="AA190" s="19"/>
      <c r="AB190" s="19"/>
      <c r="AC190" s="19"/>
      <c r="AD190" s="19"/>
      <c r="AE190" s="19"/>
      <c r="AF190" s="19"/>
      <c r="AG190" s="19"/>
      <c r="AH190" s="19"/>
      <c r="AI190" s="19"/>
    </row>
    <row r="191" spans="1:35" x14ac:dyDescent="0.3">
      <c r="A191" s="2" t="str">
        <f>IF(IT名單!$A189="","",IT名單!$A189)</f>
        <v/>
      </c>
      <c r="B191" s="2" t="str">
        <f>IF(IT名單!$B189="","",IT名單!$B189)</f>
        <v/>
      </c>
      <c r="C191" s="16" t="str">
        <f>IF(IT名單!$C189="","",IT名單!$C189)</f>
        <v/>
      </c>
      <c r="D191" s="18" t="str">
        <f>IF(IT名單!$D189="","",IT名單!$D189)</f>
        <v/>
      </c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19"/>
      <c r="T191" s="19"/>
      <c r="U191" s="19"/>
      <c r="V191" s="19"/>
      <c r="W191" s="19"/>
      <c r="X191" s="19"/>
      <c r="Y191" s="19"/>
      <c r="Z191" s="19"/>
      <c r="AA191" s="19"/>
      <c r="AB191" s="19"/>
      <c r="AC191" s="19"/>
      <c r="AD191" s="19"/>
      <c r="AE191" s="19"/>
      <c r="AF191" s="19"/>
      <c r="AG191" s="19"/>
      <c r="AH191" s="19"/>
      <c r="AI191" s="19"/>
    </row>
    <row r="192" spans="1:35" x14ac:dyDescent="0.3">
      <c r="A192" s="2" t="str">
        <f>IF(IT名單!$A190="","",IT名單!$A190)</f>
        <v/>
      </c>
      <c r="B192" s="2" t="str">
        <f>IF(IT名單!$B190="","",IT名單!$B190)</f>
        <v/>
      </c>
      <c r="C192" s="16" t="str">
        <f>IF(IT名單!$C190="","",IT名單!$C190)</f>
        <v/>
      </c>
      <c r="D192" s="18" t="str">
        <f>IF(IT名單!$D190="","",IT名單!$D190)</f>
        <v/>
      </c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19"/>
      <c r="T192" s="19"/>
      <c r="U192" s="19"/>
      <c r="V192" s="19"/>
      <c r="W192" s="19"/>
      <c r="X192" s="19"/>
      <c r="Y192" s="19"/>
      <c r="Z192" s="19"/>
      <c r="AA192" s="19"/>
      <c r="AB192" s="19"/>
      <c r="AC192" s="19"/>
      <c r="AD192" s="19"/>
      <c r="AE192" s="19"/>
      <c r="AF192" s="19"/>
      <c r="AG192" s="19"/>
      <c r="AH192" s="19"/>
      <c r="AI192" s="19"/>
    </row>
    <row r="193" spans="1:35" x14ac:dyDescent="0.3">
      <c r="A193" s="2" t="str">
        <f>IF(IT名單!$A191="","",IT名單!$A191)</f>
        <v/>
      </c>
      <c r="B193" s="2" t="str">
        <f>IF(IT名單!$B191="","",IT名單!$B191)</f>
        <v/>
      </c>
      <c r="C193" s="16" t="str">
        <f>IF(IT名單!$C191="","",IT名單!$C191)</f>
        <v/>
      </c>
      <c r="D193" s="18" t="str">
        <f>IF(IT名單!$D191="","",IT名單!$D191)</f>
        <v/>
      </c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19"/>
      <c r="T193" s="19"/>
      <c r="U193" s="19"/>
      <c r="V193" s="19"/>
      <c r="W193" s="19"/>
      <c r="X193" s="19"/>
      <c r="Y193" s="19"/>
      <c r="Z193" s="19"/>
      <c r="AA193" s="19"/>
      <c r="AB193" s="19"/>
      <c r="AC193" s="19"/>
      <c r="AD193" s="19"/>
      <c r="AE193" s="19"/>
      <c r="AF193" s="19"/>
      <c r="AG193" s="19"/>
      <c r="AH193" s="19"/>
      <c r="AI193" s="19"/>
    </row>
    <row r="194" spans="1:35" x14ac:dyDescent="0.3">
      <c r="A194" s="2" t="str">
        <f>IF(IT名單!$A192="","",IT名單!$A192)</f>
        <v/>
      </c>
      <c r="B194" s="2" t="str">
        <f>IF(IT名單!$B192="","",IT名單!$B192)</f>
        <v/>
      </c>
      <c r="C194" s="16" t="str">
        <f>IF(IT名單!$C192="","",IT名單!$C192)</f>
        <v/>
      </c>
      <c r="D194" s="18" t="str">
        <f>IF(IT名單!$D192="","",IT名單!$D192)</f>
        <v/>
      </c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19"/>
      <c r="T194" s="19"/>
      <c r="U194" s="19"/>
      <c r="V194" s="19"/>
      <c r="W194" s="19"/>
      <c r="X194" s="19"/>
      <c r="Y194" s="19"/>
      <c r="Z194" s="19"/>
      <c r="AA194" s="19"/>
      <c r="AB194" s="19"/>
      <c r="AC194" s="19"/>
      <c r="AD194" s="19"/>
      <c r="AE194" s="19"/>
      <c r="AF194" s="19"/>
      <c r="AG194" s="19"/>
      <c r="AH194" s="19"/>
      <c r="AI194" s="19"/>
    </row>
    <row r="195" spans="1:35" x14ac:dyDescent="0.3">
      <c r="A195" s="2" t="str">
        <f>IF(IT名單!$A193="","",IT名單!$A193)</f>
        <v/>
      </c>
      <c r="B195" s="2" t="str">
        <f>IF(IT名單!$B193="","",IT名單!$B193)</f>
        <v/>
      </c>
      <c r="C195" s="16" t="str">
        <f>IF(IT名單!$C193="","",IT名單!$C193)</f>
        <v/>
      </c>
      <c r="D195" s="18" t="str">
        <f>IF(IT名單!$D193="","",IT名單!$D193)</f>
        <v/>
      </c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19"/>
      <c r="T195" s="19"/>
      <c r="U195" s="19"/>
      <c r="V195" s="19"/>
      <c r="W195" s="19"/>
      <c r="X195" s="19"/>
      <c r="Y195" s="19"/>
      <c r="Z195" s="19"/>
      <c r="AA195" s="19"/>
      <c r="AB195" s="19"/>
      <c r="AC195" s="19"/>
      <c r="AD195" s="19"/>
      <c r="AE195" s="19"/>
      <c r="AF195" s="19"/>
      <c r="AG195" s="19"/>
      <c r="AH195" s="19"/>
      <c r="AI195" s="19"/>
    </row>
    <row r="196" spans="1:35" x14ac:dyDescent="0.3">
      <c r="A196" s="2" t="str">
        <f>IF(IT名單!$A194="","",IT名單!$A194)</f>
        <v/>
      </c>
      <c r="B196" s="2" t="str">
        <f>IF(IT名單!$B194="","",IT名單!$B194)</f>
        <v/>
      </c>
      <c r="C196" s="16" t="str">
        <f>IF(IT名單!$C194="","",IT名單!$C194)</f>
        <v/>
      </c>
      <c r="D196" s="18" t="str">
        <f>IF(IT名單!$D194="","",IT名單!$D194)</f>
        <v/>
      </c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19"/>
      <c r="T196" s="19"/>
      <c r="U196" s="19"/>
      <c r="V196" s="19"/>
      <c r="W196" s="19"/>
      <c r="X196" s="19"/>
      <c r="Y196" s="19"/>
      <c r="Z196" s="19"/>
      <c r="AA196" s="19"/>
      <c r="AB196" s="19"/>
      <c r="AC196" s="19"/>
      <c r="AD196" s="19"/>
      <c r="AE196" s="19"/>
      <c r="AF196" s="19"/>
      <c r="AG196" s="19"/>
      <c r="AH196" s="19"/>
      <c r="AI196" s="19"/>
    </row>
    <row r="197" spans="1:35" x14ac:dyDescent="0.3">
      <c r="A197" s="2" t="str">
        <f>IF(IT名單!$A195="","",IT名單!$A195)</f>
        <v/>
      </c>
      <c r="B197" s="2" t="str">
        <f>IF(IT名單!$B195="","",IT名單!$B195)</f>
        <v/>
      </c>
      <c r="C197" s="16" t="str">
        <f>IF(IT名單!$C195="","",IT名單!$C195)</f>
        <v/>
      </c>
      <c r="D197" s="18" t="str">
        <f>IF(IT名單!$D195="","",IT名單!$D195)</f>
        <v/>
      </c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19"/>
      <c r="T197" s="19"/>
      <c r="U197" s="19"/>
      <c r="V197" s="19"/>
      <c r="W197" s="19"/>
      <c r="X197" s="19"/>
      <c r="Y197" s="19"/>
      <c r="Z197" s="19"/>
      <c r="AA197" s="19"/>
      <c r="AB197" s="19"/>
      <c r="AC197" s="19"/>
      <c r="AD197" s="19"/>
      <c r="AE197" s="19"/>
      <c r="AF197" s="19"/>
      <c r="AG197" s="19"/>
      <c r="AH197" s="19"/>
      <c r="AI197" s="19"/>
    </row>
    <row r="198" spans="1:35" x14ac:dyDescent="0.3">
      <c r="A198" s="2" t="str">
        <f>IF(IT名單!$A196="","",IT名單!$A196)</f>
        <v/>
      </c>
      <c r="B198" s="2" t="str">
        <f>IF(IT名單!$B196="","",IT名單!$B196)</f>
        <v/>
      </c>
      <c r="C198" s="16" t="str">
        <f>IF(IT名單!$C196="","",IT名單!$C196)</f>
        <v/>
      </c>
      <c r="D198" s="18" t="str">
        <f>IF(IT名單!$D196="","",IT名單!$D196)</f>
        <v/>
      </c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19"/>
      <c r="T198" s="19"/>
      <c r="U198" s="19"/>
      <c r="V198" s="19"/>
      <c r="W198" s="19"/>
      <c r="X198" s="19"/>
      <c r="Y198" s="19"/>
      <c r="Z198" s="19"/>
      <c r="AA198" s="19"/>
      <c r="AB198" s="19"/>
      <c r="AC198" s="19"/>
      <c r="AD198" s="19"/>
      <c r="AE198" s="19"/>
      <c r="AF198" s="19"/>
      <c r="AG198" s="19"/>
      <c r="AH198" s="19"/>
      <c r="AI198" s="19"/>
    </row>
  </sheetData>
  <autoFilter ref="A3:AI198"/>
  <mergeCells count="2">
    <mergeCell ref="E1:F1"/>
    <mergeCell ref="I1:J1"/>
  </mergeCells>
  <phoneticPr fontId="4" type="noConversion"/>
  <conditionalFormatting sqref="E2:AI1048576">
    <cfRule type="expression" dxfId="11" priority="1">
      <formula>WEEKDAY(E$3,2)&gt;5</formula>
    </cfRule>
  </conditionalFormatting>
  <conditionalFormatting sqref="E3:AI3">
    <cfRule type="expression" dxfId="10" priority="3">
      <formula>MOD(WEEKNUM(E$3,2),2)=0</formula>
    </cfRule>
    <cfRule type="expression" dxfId="9" priority="4">
      <formula>MOD(WEEKNUM(XEE$3,2),2)=1</formula>
    </cfRule>
  </conditionalFormatting>
  <conditionalFormatting sqref="E2:AI2 D4:AI1048576">
    <cfRule type="expression" dxfId="8" priority="5">
      <formula>MOD(WEEKNUM(D$3,2),2)=0</formula>
    </cfRule>
    <cfRule type="expression" dxfId="7" priority="6">
      <formula>MOD(WEEKNUM(D$3,2),2)=1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Spinner 2">
              <controlPr defaultSize="0" autoPict="0">
                <anchor moveWithCells="1" sizeWithCells="1">
                  <from>
                    <xdr:col>11</xdr:col>
                    <xdr:colOff>7620</xdr:colOff>
                    <xdr:row>0</xdr:row>
                    <xdr:rowOff>7620</xdr:rowOff>
                  </from>
                  <to>
                    <xdr:col>12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5" name="Spinner 1">
              <controlPr defaultSize="0" autoPict="0">
                <anchor moveWithCells="1" sizeWithCells="1">
                  <from>
                    <xdr:col>7</xdr:col>
                    <xdr:colOff>0</xdr:colOff>
                    <xdr:row>0</xdr:row>
                    <xdr:rowOff>7620</xdr:rowOff>
                  </from>
                  <to>
                    <xdr:col>8</xdr:col>
                    <xdr:colOff>15240</xdr:colOff>
                    <xdr:row>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6" name="產生報表">
              <controlPr defaultSize="0" print="0" autoFill="0" autoPict="0" macro="[0]!產生工作表">
                <anchor moveWithCells="1" sizeWithCells="1">
                  <from>
                    <xdr:col>12</xdr:col>
                    <xdr:colOff>670560</xdr:colOff>
                    <xdr:row>0</xdr:row>
                    <xdr:rowOff>0</xdr:rowOff>
                  </from>
                  <to>
                    <xdr:col>15</xdr:col>
                    <xdr:colOff>0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772C5F6C-8470-4B98-BCA9-A21D8C4695E6}">
            <xm:f>MATCH(E$3,假期對照表!$A$2:$A$18,0)</xm:f>
            <x14:dxf>
              <fill>
                <patternFill>
                  <bgColor theme="6"/>
                </patternFill>
              </fill>
            </x14:dxf>
          </x14:cfRule>
          <xm:sqref>E2:AI1048576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AI197"/>
  <sheetViews>
    <sheetView tabSelected="1" workbookViewId="0">
      <selection activeCell="H12" sqref="H12"/>
    </sheetView>
  </sheetViews>
  <sheetFormatPr defaultRowHeight="16.2" x14ac:dyDescent="0.3"/>
  <cols>
    <col min="1" max="2" width="19.33203125" bestFit="1" customWidth="1"/>
    <col min="3" max="3" width="11.109375" bestFit="1" customWidth="1"/>
    <col min="4" max="4" width="7.21875" style="20" bestFit="1" customWidth="1"/>
    <col min="5" max="35" width="10" style="21" customWidth="1"/>
  </cols>
  <sheetData>
    <row r="1" spans="1:35" ht="31.8" customHeight="1" x14ac:dyDescent="0.3">
      <c r="A1" s="13"/>
      <c r="B1" s="13"/>
      <c r="C1" s="13"/>
      <c r="D1" s="13"/>
      <c r="E1" s="22" t="s">
        <v>357</v>
      </c>
      <c r="F1" s="22" t="s">
        <v>357</v>
      </c>
      <c r="G1" s="22" t="s">
        <v>357</v>
      </c>
      <c r="H1" s="22" t="s">
        <v>357</v>
      </c>
      <c r="I1" s="22" t="s">
        <v>357</v>
      </c>
      <c r="J1" s="22" t="s">
        <v>358</v>
      </c>
      <c r="K1" s="22" t="s">
        <v>358</v>
      </c>
      <c r="L1" s="22" t="s">
        <v>358</v>
      </c>
      <c r="M1" s="22" t="s">
        <v>358</v>
      </c>
      <c r="N1" s="22" t="s">
        <v>358</v>
      </c>
      <c r="O1" s="22" t="s">
        <v>358</v>
      </c>
      <c r="P1" s="22" t="s">
        <v>358</v>
      </c>
      <c r="Q1" s="22" t="s">
        <v>359</v>
      </c>
      <c r="R1" s="22" t="s">
        <v>359</v>
      </c>
      <c r="S1" s="22" t="s">
        <v>359</v>
      </c>
      <c r="T1" s="22" t="s">
        <v>359</v>
      </c>
      <c r="U1" s="22" t="s">
        <v>359</v>
      </c>
      <c r="V1" s="22" t="s">
        <v>359</v>
      </c>
      <c r="W1" s="22" t="s">
        <v>359</v>
      </c>
      <c r="X1" s="22" t="s">
        <v>360</v>
      </c>
      <c r="Y1" s="22" t="s">
        <v>360</v>
      </c>
      <c r="Z1" s="22" t="s">
        <v>360</v>
      </c>
      <c r="AA1" s="22" t="s">
        <v>360</v>
      </c>
      <c r="AB1" s="22" t="s">
        <v>360</v>
      </c>
      <c r="AC1" s="22" t="s">
        <v>360</v>
      </c>
      <c r="AD1" s="22" t="s">
        <v>360</v>
      </c>
      <c r="AE1" s="22" t="s">
        <v>361</v>
      </c>
      <c r="AF1" s="22" t="s">
        <v>361</v>
      </c>
      <c r="AG1" s="22" t="s">
        <v>361</v>
      </c>
      <c r="AH1" s="22" t="s">
        <v>361</v>
      </c>
      <c r="AI1" s="22" t="s">
        <v>361</v>
      </c>
    </row>
    <row r="2" spans="1:35" x14ac:dyDescent="0.3">
      <c r="A2" s="1" t="s">
        <v>2</v>
      </c>
      <c r="B2" s="1" t="s">
        <v>3</v>
      </c>
      <c r="C2" s="1" t="s">
        <v>4</v>
      </c>
      <c r="D2" s="17" t="s">
        <v>5</v>
      </c>
      <c r="E2" s="23">
        <v>45413</v>
      </c>
      <c r="F2" s="23">
        <v>45414</v>
      </c>
      <c r="G2" s="23">
        <v>45415</v>
      </c>
      <c r="H2" s="23">
        <v>45416</v>
      </c>
      <c r="I2" s="23">
        <v>45417</v>
      </c>
      <c r="J2" s="23">
        <v>45418</v>
      </c>
      <c r="K2" s="23">
        <v>45419</v>
      </c>
      <c r="L2" s="23">
        <v>45420</v>
      </c>
      <c r="M2" s="23">
        <v>45421</v>
      </c>
      <c r="N2" s="23">
        <v>45422</v>
      </c>
      <c r="O2" s="23">
        <v>45423</v>
      </c>
      <c r="P2" s="23">
        <v>45424</v>
      </c>
      <c r="Q2" s="23">
        <v>45425</v>
      </c>
      <c r="R2" s="23">
        <v>45426</v>
      </c>
      <c r="S2" s="23">
        <v>45427</v>
      </c>
      <c r="T2" s="23">
        <v>45428</v>
      </c>
      <c r="U2" s="23">
        <v>45429</v>
      </c>
      <c r="V2" s="23">
        <v>45430</v>
      </c>
      <c r="W2" s="23">
        <v>45431</v>
      </c>
      <c r="X2" s="23">
        <v>45432</v>
      </c>
      <c r="Y2" s="23">
        <v>45433</v>
      </c>
      <c r="Z2" s="23">
        <v>45434</v>
      </c>
      <c r="AA2" s="23">
        <v>45435</v>
      </c>
      <c r="AB2" s="23">
        <v>45436</v>
      </c>
      <c r="AC2" s="23">
        <v>45437</v>
      </c>
      <c r="AD2" s="23">
        <v>45438</v>
      </c>
      <c r="AE2" s="23">
        <v>45439</v>
      </c>
      <c r="AF2" s="23">
        <v>45440</v>
      </c>
      <c r="AG2" s="23">
        <v>45441</v>
      </c>
      <c r="AH2" s="23">
        <v>45442</v>
      </c>
      <c r="AI2" s="23">
        <v>45443</v>
      </c>
    </row>
    <row r="3" spans="1:35" x14ac:dyDescent="0.3">
      <c r="A3" s="2" t="s">
        <v>6</v>
      </c>
      <c r="B3" s="2" t="s">
        <v>6</v>
      </c>
      <c r="C3" s="16" t="s">
        <v>7</v>
      </c>
      <c r="D3" s="18" t="s">
        <v>8</v>
      </c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</row>
    <row r="4" spans="1:35" x14ac:dyDescent="0.3">
      <c r="A4" s="2" t="s">
        <v>6</v>
      </c>
      <c r="B4" s="2" t="s">
        <v>6</v>
      </c>
      <c r="C4" s="16" t="s">
        <v>9</v>
      </c>
      <c r="D4" s="18" t="s">
        <v>10</v>
      </c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</row>
    <row r="5" spans="1:35" x14ac:dyDescent="0.3">
      <c r="A5" s="2" t="s">
        <v>6</v>
      </c>
      <c r="B5" s="2" t="s">
        <v>6</v>
      </c>
      <c r="C5" s="16" t="s">
        <v>11</v>
      </c>
      <c r="D5" s="18" t="s">
        <v>12</v>
      </c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</row>
    <row r="6" spans="1:35" x14ac:dyDescent="0.3">
      <c r="A6" s="2" t="s">
        <v>13</v>
      </c>
      <c r="B6" s="2" t="s">
        <v>13</v>
      </c>
      <c r="C6" s="16" t="s">
        <v>14</v>
      </c>
      <c r="D6" s="18" t="s">
        <v>15</v>
      </c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</row>
    <row r="7" spans="1:35" x14ac:dyDescent="0.3">
      <c r="A7" s="2" t="s">
        <v>16</v>
      </c>
      <c r="B7" s="2" t="s">
        <v>16</v>
      </c>
      <c r="C7" s="16" t="s">
        <v>17</v>
      </c>
      <c r="D7" s="18" t="s">
        <v>18</v>
      </c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</row>
    <row r="8" spans="1:35" x14ac:dyDescent="0.3">
      <c r="A8" s="2" t="s">
        <v>16</v>
      </c>
      <c r="B8" s="2" t="s">
        <v>16</v>
      </c>
      <c r="C8" s="16" t="s">
        <v>19</v>
      </c>
      <c r="D8" s="18" t="s">
        <v>20</v>
      </c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</row>
    <row r="9" spans="1:35" x14ac:dyDescent="0.3">
      <c r="A9" s="2" t="s">
        <v>21</v>
      </c>
      <c r="B9" s="2" t="s">
        <v>21</v>
      </c>
      <c r="C9" s="16" t="s">
        <v>22</v>
      </c>
      <c r="D9" s="18" t="s">
        <v>23</v>
      </c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</row>
    <row r="10" spans="1:35" x14ac:dyDescent="0.3">
      <c r="A10" s="2" t="s">
        <v>21</v>
      </c>
      <c r="B10" s="2" t="s">
        <v>21</v>
      </c>
      <c r="C10" s="16" t="s">
        <v>24</v>
      </c>
      <c r="D10" s="18" t="s">
        <v>25</v>
      </c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</row>
    <row r="11" spans="1:35" x14ac:dyDescent="0.3">
      <c r="A11" s="2" t="s">
        <v>21</v>
      </c>
      <c r="B11" s="2" t="s">
        <v>21</v>
      </c>
      <c r="C11" s="16" t="s">
        <v>26</v>
      </c>
      <c r="D11" s="18" t="s">
        <v>27</v>
      </c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</row>
    <row r="12" spans="1:35" x14ac:dyDescent="0.3">
      <c r="A12" s="2" t="s">
        <v>21</v>
      </c>
      <c r="B12" s="2" t="s">
        <v>21</v>
      </c>
      <c r="C12" s="16" t="s">
        <v>28</v>
      </c>
      <c r="D12" s="18" t="s">
        <v>29</v>
      </c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</row>
    <row r="13" spans="1:35" x14ac:dyDescent="0.3">
      <c r="A13" s="2" t="s">
        <v>21</v>
      </c>
      <c r="B13" s="2" t="s">
        <v>21</v>
      </c>
      <c r="C13" s="16" t="s">
        <v>30</v>
      </c>
      <c r="D13" s="18" t="s">
        <v>31</v>
      </c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</row>
    <row r="14" spans="1:35" x14ac:dyDescent="0.3">
      <c r="A14" s="2" t="s">
        <v>21</v>
      </c>
      <c r="B14" s="2" t="s">
        <v>21</v>
      </c>
      <c r="C14" s="16" t="s">
        <v>32</v>
      </c>
      <c r="D14" s="18" t="s">
        <v>33</v>
      </c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</row>
    <row r="15" spans="1:35" x14ac:dyDescent="0.3">
      <c r="A15" s="2" t="s">
        <v>21</v>
      </c>
      <c r="B15" s="2" t="s">
        <v>21</v>
      </c>
      <c r="C15" s="16" t="s">
        <v>34</v>
      </c>
      <c r="D15" s="18" t="s">
        <v>35</v>
      </c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</row>
    <row r="16" spans="1:35" x14ac:dyDescent="0.3">
      <c r="A16" s="2" t="s">
        <v>21</v>
      </c>
      <c r="B16" s="2" t="s">
        <v>21</v>
      </c>
      <c r="C16" s="16" t="s">
        <v>36</v>
      </c>
      <c r="D16" s="18" t="s">
        <v>37</v>
      </c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</row>
    <row r="17" spans="1:35" x14ac:dyDescent="0.3">
      <c r="A17" s="2" t="s">
        <v>21</v>
      </c>
      <c r="B17" s="2" t="s">
        <v>21</v>
      </c>
      <c r="C17" s="16" t="s">
        <v>38</v>
      </c>
      <c r="D17" s="18" t="s">
        <v>39</v>
      </c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</row>
    <row r="18" spans="1:35" x14ac:dyDescent="0.3">
      <c r="A18" s="2" t="s">
        <v>21</v>
      </c>
      <c r="B18" s="2" t="s">
        <v>21</v>
      </c>
      <c r="C18" s="16" t="s">
        <v>40</v>
      </c>
      <c r="D18" s="18" t="s">
        <v>41</v>
      </c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</row>
    <row r="19" spans="1:35" x14ac:dyDescent="0.3">
      <c r="A19" s="2" t="s">
        <v>21</v>
      </c>
      <c r="B19" s="2" t="s">
        <v>21</v>
      </c>
      <c r="C19" s="16" t="s">
        <v>42</v>
      </c>
      <c r="D19" s="18" t="s">
        <v>43</v>
      </c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</row>
    <row r="20" spans="1:35" x14ac:dyDescent="0.3">
      <c r="A20" s="2" t="s">
        <v>44</v>
      </c>
      <c r="B20" s="2" t="s">
        <v>44</v>
      </c>
      <c r="C20" s="16" t="s">
        <v>45</v>
      </c>
      <c r="D20" s="18" t="s">
        <v>46</v>
      </c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</row>
    <row r="21" spans="1:35" x14ac:dyDescent="0.3">
      <c r="A21" s="2" t="s">
        <v>44</v>
      </c>
      <c r="B21" s="2" t="s">
        <v>44</v>
      </c>
      <c r="C21" s="16" t="s">
        <v>47</v>
      </c>
      <c r="D21" s="18" t="s">
        <v>48</v>
      </c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</row>
    <row r="22" spans="1:35" x14ac:dyDescent="0.3">
      <c r="A22" s="2" t="s">
        <v>44</v>
      </c>
      <c r="B22" s="2" t="s">
        <v>44</v>
      </c>
      <c r="C22" s="16" t="s">
        <v>49</v>
      </c>
      <c r="D22" s="18" t="s">
        <v>50</v>
      </c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</row>
    <row r="23" spans="1:35" x14ac:dyDescent="0.3">
      <c r="A23" s="2" t="s">
        <v>44</v>
      </c>
      <c r="B23" s="2" t="s">
        <v>44</v>
      </c>
      <c r="C23" s="16" t="s">
        <v>51</v>
      </c>
      <c r="D23" s="18" t="s">
        <v>52</v>
      </c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</row>
    <row r="24" spans="1:35" x14ac:dyDescent="0.3">
      <c r="A24" s="2" t="s">
        <v>44</v>
      </c>
      <c r="B24" s="2" t="s">
        <v>44</v>
      </c>
      <c r="C24" s="16" t="s">
        <v>53</v>
      </c>
      <c r="D24" s="18" t="s">
        <v>54</v>
      </c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</row>
    <row r="25" spans="1:35" x14ac:dyDescent="0.3">
      <c r="A25" s="2" t="s">
        <v>44</v>
      </c>
      <c r="B25" s="2" t="s">
        <v>44</v>
      </c>
      <c r="C25" s="16" t="s">
        <v>55</v>
      </c>
      <c r="D25" s="18" t="s">
        <v>56</v>
      </c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</row>
    <row r="26" spans="1:35" x14ac:dyDescent="0.3">
      <c r="A26" s="2" t="s">
        <v>44</v>
      </c>
      <c r="B26" s="2" t="s">
        <v>44</v>
      </c>
      <c r="C26" s="16" t="s">
        <v>57</v>
      </c>
      <c r="D26" s="18" t="s">
        <v>58</v>
      </c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</row>
    <row r="27" spans="1:35" x14ac:dyDescent="0.3">
      <c r="A27" s="2" t="s">
        <v>44</v>
      </c>
      <c r="B27" s="2" t="s">
        <v>44</v>
      </c>
      <c r="C27" s="16" t="s">
        <v>59</v>
      </c>
      <c r="D27" s="18" t="s">
        <v>60</v>
      </c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</row>
    <row r="28" spans="1:35" x14ac:dyDescent="0.3">
      <c r="A28" s="2" t="s">
        <v>44</v>
      </c>
      <c r="B28" s="2" t="s">
        <v>44</v>
      </c>
      <c r="C28" s="16" t="s">
        <v>61</v>
      </c>
      <c r="D28" s="18" t="s">
        <v>62</v>
      </c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</row>
    <row r="29" spans="1:35" x14ac:dyDescent="0.3">
      <c r="A29" s="2" t="s">
        <v>44</v>
      </c>
      <c r="B29" s="2" t="s">
        <v>44</v>
      </c>
      <c r="C29" s="16" t="s">
        <v>63</v>
      </c>
      <c r="D29" s="18" t="s">
        <v>64</v>
      </c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</row>
    <row r="30" spans="1:35" x14ac:dyDescent="0.3">
      <c r="A30" s="2" t="s">
        <v>65</v>
      </c>
      <c r="B30" s="2" t="s">
        <v>65</v>
      </c>
      <c r="C30" s="16" t="s">
        <v>66</v>
      </c>
      <c r="D30" s="18" t="s">
        <v>67</v>
      </c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</row>
    <row r="31" spans="1:35" x14ac:dyDescent="0.3">
      <c r="A31" s="2" t="s">
        <v>65</v>
      </c>
      <c r="B31" s="2" t="s">
        <v>65</v>
      </c>
      <c r="C31" s="16" t="s">
        <v>68</v>
      </c>
      <c r="D31" s="18" t="s">
        <v>69</v>
      </c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</row>
    <row r="32" spans="1:35" x14ac:dyDescent="0.3">
      <c r="A32" s="2" t="s">
        <v>65</v>
      </c>
      <c r="B32" s="2" t="s">
        <v>65</v>
      </c>
      <c r="C32" s="16" t="s">
        <v>70</v>
      </c>
      <c r="D32" s="18" t="s">
        <v>71</v>
      </c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</row>
    <row r="33" spans="1:35" x14ac:dyDescent="0.3">
      <c r="A33" s="2" t="s">
        <v>65</v>
      </c>
      <c r="B33" s="2" t="s">
        <v>65</v>
      </c>
      <c r="C33" s="16" t="s">
        <v>72</v>
      </c>
      <c r="D33" s="18" t="s">
        <v>73</v>
      </c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</row>
    <row r="34" spans="1:35" x14ac:dyDescent="0.3">
      <c r="A34" s="2" t="s">
        <v>65</v>
      </c>
      <c r="B34" s="2" t="s">
        <v>65</v>
      </c>
      <c r="C34" s="16" t="s">
        <v>74</v>
      </c>
      <c r="D34" s="18" t="s">
        <v>75</v>
      </c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</row>
    <row r="35" spans="1:35" x14ac:dyDescent="0.3">
      <c r="A35" s="2" t="s">
        <v>65</v>
      </c>
      <c r="B35" s="2" t="s">
        <v>65</v>
      </c>
      <c r="C35" s="16" t="s">
        <v>76</v>
      </c>
      <c r="D35" s="18" t="s">
        <v>77</v>
      </c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</row>
    <row r="36" spans="1:35" x14ac:dyDescent="0.3">
      <c r="A36" s="2" t="s">
        <v>65</v>
      </c>
      <c r="B36" s="2" t="s">
        <v>65</v>
      </c>
      <c r="C36" s="16" t="s">
        <v>78</v>
      </c>
      <c r="D36" s="18" t="s">
        <v>79</v>
      </c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</row>
    <row r="37" spans="1:35" x14ac:dyDescent="0.3">
      <c r="A37" s="2" t="s">
        <v>65</v>
      </c>
      <c r="B37" s="2" t="s">
        <v>65</v>
      </c>
      <c r="C37" s="16" t="s">
        <v>80</v>
      </c>
      <c r="D37" s="18" t="s">
        <v>81</v>
      </c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</row>
    <row r="38" spans="1:35" x14ac:dyDescent="0.3">
      <c r="A38" s="2" t="s">
        <v>65</v>
      </c>
      <c r="B38" s="2" t="s">
        <v>65</v>
      </c>
      <c r="C38" s="16" t="s">
        <v>82</v>
      </c>
      <c r="D38" s="18" t="s">
        <v>83</v>
      </c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</row>
    <row r="39" spans="1:35" x14ac:dyDescent="0.3">
      <c r="A39" s="2" t="s">
        <v>65</v>
      </c>
      <c r="B39" s="2" t="s">
        <v>65</v>
      </c>
      <c r="C39" s="16" t="s">
        <v>84</v>
      </c>
      <c r="D39" s="18" t="s">
        <v>85</v>
      </c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</row>
    <row r="40" spans="1:35" x14ac:dyDescent="0.3">
      <c r="A40" s="2" t="s">
        <v>86</v>
      </c>
      <c r="B40" s="2" t="s">
        <v>86</v>
      </c>
      <c r="C40" s="16" t="s">
        <v>87</v>
      </c>
      <c r="D40" s="18" t="s">
        <v>88</v>
      </c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</row>
    <row r="41" spans="1:35" x14ac:dyDescent="0.3">
      <c r="A41" s="2" t="s">
        <v>86</v>
      </c>
      <c r="B41" s="2" t="s">
        <v>86</v>
      </c>
      <c r="C41" s="16" t="s">
        <v>89</v>
      </c>
      <c r="D41" s="18" t="s">
        <v>90</v>
      </c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</row>
    <row r="42" spans="1:35" x14ac:dyDescent="0.3">
      <c r="A42" s="2" t="s">
        <v>86</v>
      </c>
      <c r="B42" s="2" t="s">
        <v>86</v>
      </c>
      <c r="C42" s="16" t="s">
        <v>91</v>
      </c>
      <c r="D42" s="18" t="s">
        <v>92</v>
      </c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</row>
    <row r="43" spans="1:35" x14ac:dyDescent="0.3">
      <c r="A43" s="2" t="s">
        <v>86</v>
      </c>
      <c r="B43" s="2" t="s">
        <v>86</v>
      </c>
      <c r="C43" s="16" t="s">
        <v>93</v>
      </c>
      <c r="D43" s="18" t="s">
        <v>94</v>
      </c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</row>
    <row r="44" spans="1:35" x14ac:dyDescent="0.3">
      <c r="A44" s="2" t="s">
        <v>86</v>
      </c>
      <c r="B44" s="2" t="s">
        <v>86</v>
      </c>
      <c r="C44" s="16" t="s">
        <v>95</v>
      </c>
      <c r="D44" s="18" t="s">
        <v>96</v>
      </c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</row>
    <row r="45" spans="1:35" x14ac:dyDescent="0.3">
      <c r="A45" s="2" t="s">
        <v>86</v>
      </c>
      <c r="B45" s="2" t="s">
        <v>86</v>
      </c>
      <c r="C45" s="16" t="s">
        <v>97</v>
      </c>
      <c r="D45" s="18" t="s">
        <v>98</v>
      </c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  <c r="AH45" s="19"/>
      <c r="AI45" s="19"/>
    </row>
    <row r="46" spans="1:35" x14ac:dyDescent="0.3">
      <c r="A46" s="2" t="s">
        <v>86</v>
      </c>
      <c r="B46" s="2" t="s">
        <v>86</v>
      </c>
      <c r="C46" s="16" t="s">
        <v>99</v>
      </c>
      <c r="D46" s="18" t="s">
        <v>100</v>
      </c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  <c r="AB46" s="19"/>
      <c r="AC46" s="19"/>
      <c r="AD46" s="19"/>
      <c r="AE46" s="19"/>
      <c r="AF46" s="19"/>
      <c r="AG46" s="19"/>
      <c r="AH46" s="19"/>
      <c r="AI46" s="19"/>
    </row>
    <row r="47" spans="1:35" x14ac:dyDescent="0.3">
      <c r="A47" s="2" t="s">
        <v>86</v>
      </c>
      <c r="B47" s="2" t="s">
        <v>86</v>
      </c>
      <c r="C47" s="16" t="s">
        <v>101</v>
      </c>
      <c r="D47" s="18" t="s">
        <v>102</v>
      </c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19"/>
      <c r="AB47" s="19"/>
      <c r="AC47" s="19"/>
      <c r="AD47" s="19"/>
      <c r="AE47" s="19"/>
      <c r="AF47" s="19"/>
      <c r="AG47" s="19"/>
      <c r="AH47" s="19"/>
      <c r="AI47" s="19"/>
    </row>
    <row r="48" spans="1:35" x14ac:dyDescent="0.3">
      <c r="A48" s="2" t="s">
        <v>86</v>
      </c>
      <c r="B48" s="2" t="s">
        <v>86</v>
      </c>
      <c r="C48" s="16" t="s">
        <v>103</v>
      </c>
      <c r="D48" s="18" t="s">
        <v>104</v>
      </c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9"/>
      <c r="AA48" s="19"/>
      <c r="AB48" s="19"/>
      <c r="AC48" s="19"/>
      <c r="AD48" s="19"/>
      <c r="AE48" s="19"/>
      <c r="AF48" s="19"/>
      <c r="AG48" s="19"/>
      <c r="AH48" s="19"/>
      <c r="AI48" s="19"/>
    </row>
    <row r="49" spans="1:35" x14ac:dyDescent="0.3">
      <c r="A49" s="2" t="s">
        <v>86</v>
      </c>
      <c r="B49" s="2" t="s">
        <v>86</v>
      </c>
      <c r="C49" s="16" t="s">
        <v>105</v>
      </c>
      <c r="D49" s="18" t="s">
        <v>106</v>
      </c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  <c r="AB49" s="19"/>
      <c r="AC49" s="19"/>
      <c r="AD49" s="19"/>
      <c r="AE49" s="19"/>
      <c r="AF49" s="19"/>
      <c r="AG49" s="19"/>
      <c r="AH49" s="19"/>
      <c r="AI49" s="19"/>
    </row>
    <row r="50" spans="1:35" x14ac:dyDescent="0.3">
      <c r="A50" s="2" t="s">
        <v>86</v>
      </c>
      <c r="B50" s="2" t="s">
        <v>86</v>
      </c>
      <c r="C50" s="16" t="s">
        <v>107</v>
      </c>
      <c r="D50" s="18" t="s">
        <v>108</v>
      </c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  <c r="AB50" s="19"/>
      <c r="AC50" s="19"/>
      <c r="AD50" s="19"/>
      <c r="AE50" s="19"/>
      <c r="AF50" s="19"/>
      <c r="AG50" s="19"/>
      <c r="AH50" s="19"/>
      <c r="AI50" s="19"/>
    </row>
    <row r="51" spans="1:35" x14ac:dyDescent="0.3">
      <c r="A51" s="2" t="s">
        <v>109</v>
      </c>
      <c r="B51" s="2" t="s">
        <v>109</v>
      </c>
      <c r="C51" s="16" t="s">
        <v>110</v>
      </c>
      <c r="D51" s="18" t="s">
        <v>111</v>
      </c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</row>
    <row r="52" spans="1:35" x14ac:dyDescent="0.3">
      <c r="A52" s="2" t="s">
        <v>109</v>
      </c>
      <c r="B52" s="2" t="s">
        <v>109</v>
      </c>
      <c r="C52" s="16" t="s">
        <v>112</v>
      </c>
      <c r="D52" s="18" t="s">
        <v>113</v>
      </c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</row>
    <row r="53" spans="1:35" x14ac:dyDescent="0.3">
      <c r="A53" s="2" t="s">
        <v>109</v>
      </c>
      <c r="B53" s="2" t="s">
        <v>109</v>
      </c>
      <c r="C53" s="16" t="s">
        <v>114</v>
      </c>
      <c r="D53" s="18" t="s">
        <v>115</v>
      </c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</row>
    <row r="54" spans="1:35" x14ac:dyDescent="0.3">
      <c r="A54" s="2" t="s">
        <v>109</v>
      </c>
      <c r="B54" s="2" t="s">
        <v>109</v>
      </c>
      <c r="C54" s="16" t="s">
        <v>116</v>
      </c>
      <c r="D54" s="18" t="s">
        <v>117</v>
      </c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</row>
    <row r="55" spans="1:35" x14ac:dyDescent="0.3">
      <c r="A55" s="2" t="s">
        <v>109</v>
      </c>
      <c r="B55" s="2" t="s">
        <v>109</v>
      </c>
      <c r="C55" s="16" t="s">
        <v>118</v>
      </c>
      <c r="D55" s="18" t="s">
        <v>119</v>
      </c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</row>
    <row r="56" spans="1:35" x14ac:dyDescent="0.3">
      <c r="A56" s="2" t="s">
        <v>109</v>
      </c>
      <c r="B56" s="2" t="s">
        <v>109</v>
      </c>
      <c r="C56" s="16" t="s">
        <v>120</v>
      </c>
      <c r="D56" s="18" t="s">
        <v>121</v>
      </c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</row>
    <row r="57" spans="1:35" x14ac:dyDescent="0.3">
      <c r="A57" s="2" t="s">
        <v>109</v>
      </c>
      <c r="B57" s="2" t="s">
        <v>109</v>
      </c>
      <c r="C57" s="16" t="s">
        <v>122</v>
      </c>
      <c r="D57" s="18" t="s">
        <v>123</v>
      </c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19"/>
      <c r="AA57" s="19"/>
      <c r="AB57" s="19"/>
      <c r="AC57" s="19"/>
      <c r="AD57" s="19"/>
      <c r="AE57" s="19"/>
      <c r="AF57" s="19"/>
      <c r="AG57" s="19"/>
      <c r="AH57" s="19"/>
      <c r="AI57" s="19"/>
    </row>
    <row r="58" spans="1:35" x14ac:dyDescent="0.3">
      <c r="A58" s="2" t="s">
        <v>124</v>
      </c>
      <c r="B58" s="2" t="s">
        <v>124</v>
      </c>
      <c r="C58" s="16" t="s">
        <v>125</v>
      </c>
      <c r="D58" s="18" t="s">
        <v>126</v>
      </c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9"/>
      <c r="AA58" s="19"/>
      <c r="AB58" s="19"/>
      <c r="AC58" s="19"/>
      <c r="AD58" s="19"/>
      <c r="AE58" s="19"/>
      <c r="AF58" s="19"/>
      <c r="AG58" s="19"/>
      <c r="AH58" s="19"/>
      <c r="AI58" s="19"/>
    </row>
    <row r="59" spans="1:35" x14ac:dyDescent="0.3">
      <c r="A59" s="2" t="s">
        <v>124</v>
      </c>
      <c r="B59" s="2" t="s">
        <v>124</v>
      </c>
      <c r="C59" s="16" t="s">
        <v>127</v>
      </c>
      <c r="D59" s="18" t="s">
        <v>128</v>
      </c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s="19"/>
      <c r="AA59" s="19"/>
      <c r="AB59" s="19"/>
      <c r="AC59" s="19"/>
      <c r="AD59" s="19"/>
      <c r="AE59" s="19"/>
      <c r="AF59" s="19"/>
      <c r="AG59" s="19"/>
      <c r="AH59" s="19"/>
      <c r="AI59" s="19"/>
    </row>
    <row r="60" spans="1:35" x14ac:dyDescent="0.3">
      <c r="A60" s="2" t="s">
        <v>124</v>
      </c>
      <c r="B60" s="2" t="s">
        <v>124</v>
      </c>
      <c r="C60" s="16" t="s">
        <v>129</v>
      </c>
      <c r="D60" s="18" t="s">
        <v>130</v>
      </c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9"/>
      <c r="AA60" s="19"/>
      <c r="AB60" s="19"/>
      <c r="AC60" s="19"/>
      <c r="AD60" s="19"/>
      <c r="AE60" s="19"/>
      <c r="AF60" s="19"/>
      <c r="AG60" s="19"/>
      <c r="AH60" s="19"/>
      <c r="AI60" s="19"/>
    </row>
    <row r="61" spans="1:35" x14ac:dyDescent="0.3">
      <c r="A61" s="2" t="s">
        <v>124</v>
      </c>
      <c r="B61" s="2" t="s">
        <v>124</v>
      </c>
      <c r="C61" s="16" t="s">
        <v>131</v>
      </c>
      <c r="D61" s="18" t="s">
        <v>132</v>
      </c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Z61" s="19"/>
      <c r="AA61" s="19"/>
      <c r="AB61" s="19"/>
      <c r="AC61" s="19"/>
      <c r="AD61" s="19"/>
      <c r="AE61" s="19"/>
      <c r="AF61" s="19"/>
      <c r="AG61" s="19"/>
      <c r="AH61" s="19"/>
      <c r="AI61" s="19"/>
    </row>
    <row r="62" spans="1:35" x14ac:dyDescent="0.3">
      <c r="A62" s="2" t="s">
        <v>124</v>
      </c>
      <c r="B62" s="2" t="s">
        <v>124</v>
      </c>
      <c r="C62" s="16" t="s">
        <v>133</v>
      </c>
      <c r="D62" s="18" t="s">
        <v>134</v>
      </c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Z62" s="19"/>
      <c r="AA62" s="19"/>
      <c r="AB62" s="19"/>
      <c r="AC62" s="19"/>
      <c r="AD62" s="19"/>
      <c r="AE62" s="19"/>
      <c r="AF62" s="19"/>
      <c r="AG62" s="19"/>
      <c r="AH62" s="19"/>
      <c r="AI62" s="19"/>
    </row>
    <row r="63" spans="1:35" x14ac:dyDescent="0.3">
      <c r="A63" s="2" t="s">
        <v>124</v>
      </c>
      <c r="B63" s="2" t="s">
        <v>124</v>
      </c>
      <c r="C63" s="16" t="s">
        <v>135</v>
      </c>
      <c r="D63" s="18" t="s">
        <v>136</v>
      </c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Z63" s="19"/>
      <c r="AA63" s="19"/>
      <c r="AB63" s="19"/>
      <c r="AC63" s="19"/>
      <c r="AD63" s="19"/>
      <c r="AE63" s="19"/>
      <c r="AF63" s="19"/>
      <c r="AG63" s="19"/>
      <c r="AH63" s="19"/>
      <c r="AI63" s="19"/>
    </row>
    <row r="64" spans="1:35" x14ac:dyDescent="0.3">
      <c r="A64" s="2" t="s">
        <v>137</v>
      </c>
      <c r="B64" s="2" t="s">
        <v>137</v>
      </c>
      <c r="C64" s="16" t="s">
        <v>138</v>
      </c>
      <c r="D64" s="18" t="s">
        <v>139</v>
      </c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Z64" s="19"/>
      <c r="AA64" s="19"/>
      <c r="AB64" s="19"/>
      <c r="AC64" s="19"/>
      <c r="AD64" s="19"/>
      <c r="AE64" s="19"/>
      <c r="AF64" s="19"/>
      <c r="AG64" s="19"/>
      <c r="AH64" s="19"/>
      <c r="AI64" s="19"/>
    </row>
    <row r="65" spans="1:35" x14ac:dyDescent="0.3">
      <c r="A65" s="2" t="s">
        <v>137</v>
      </c>
      <c r="B65" s="2" t="s">
        <v>137</v>
      </c>
      <c r="C65" s="16" t="s">
        <v>140</v>
      </c>
      <c r="D65" s="18" t="s">
        <v>141</v>
      </c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  <c r="Z65" s="19"/>
      <c r="AA65" s="19"/>
      <c r="AB65" s="19"/>
      <c r="AC65" s="19"/>
      <c r="AD65" s="19"/>
      <c r="AE65" s="19"/>
      <c r="AF65" s="19"/>
      <c r="AG65" s="19"/>
      <c r="AH65" s="19"/>
      <c r="AI65" s="19"/>
    </row>
    <row r="66" spans="1:35" x14ac:dyDescent="0.3">
      <c r="A66" s="2" t="s">
        <v>137</v>
      </c>
      <c r="B66" s="2" t="s">
        <v>137</v>
      </c>
      <c r="C66" s="16" t="s">
        <v>142</v>
      </c>
      <c r="D66" s="18" t="s">
        <v>143</v>
      </c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Z66" s="19"/>
      <c r="AA66" s="19"/>
      <c r="AB66" s="19"/>
      <c r="AC66" s="19"/>
      <c r="AD66" s="19"/>
      <c r="AE66" s="19"/>
      <c r="AF66" s="19"/>
      <c r="AG66" s="19"/>
      <c r="AH66" s="19"/>
      <c r="AI66" s="19"/>
    </row>
    <row r="67" spans="1:35" x14ac:dyDescent="0.3">
      <c r="A67" s="2" t="s">
        <v>137</v>
      </c>
      <c r="B67" s="2" t="s">
        <v>137</v>
      </c>
      <c r="C67" s="16" t="s">
        <v>144</v>
      </c>
      <c r="D67" s="18" t="s">
        <v>145</v>
      </c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  <c r="Z67" s="19"/>
      <c r="AA67" s="19"/>
      <c r="AB67" s="19"/>
      <c r="AC67" s="19"/>
      <c r="AD67" s="19"/>
      <c r="AE67" s="19"/>
      <c r="AF67" s="19"/>
      <c r="AG67" s="19"/>
      <c r="AH67" s="19"/>
      <c r="AI67" s="19"/>
    </row>
    <row r="68" spans="1:35" x14ac:dyDescent="0.3">
      <c r="A68" s="2" t="s">
        <v>137</v>
      </c>
      <c r="B68" s="2" t="s">
        <v>137</v>
      </c>
      <c r="C68" s="16" t="s">
        <v>146</v>
      </c>
      <c r="D68" s="18" t="s">
        <v>147</v>
      </c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Z68" s="19"/>
      <c r="AA68" s="19"/>
      <c r="AB68" s="19"/>
      <c r="AC68" s="19"/>
      <c r="AD68" s="19"/>
      <c r="AE68" s="19"/>
      <c r="AF68" s="19"/>
      <c r="AG68" s="19"/>
      <c r="AH68" s="19"/>
      <c r="AI68" s="19"/>
    </row>
    <row r="69" spans="1:35" x14ac:dyDescent="0.3">
      <c r="A69" s="2" t="s">
        <v>137</v>
      </c>
      <c r="B69" s="2" t="s">
        <v>137</v>
      </c>
      <c r="C69" s="16" t="s">
        <v>148</v>
      </c>
      <c r="D69" s="18" t="s">
        <v>149</v>
      </c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9"/>
      <c r="AA69" s="19"/>
      <c r="AB69" s="19"/>
      <c r="AC69" s="19"/>
      <c r="AD69" s="19"/>
      <c r="AE69" s="19"/>
      <c r="AF69" s="19"/>
      <c r="AG69" s="19"/>
      <c r="AH69" s="19"/>
      <c r="AI69" s="19"/>
    </row>
    <row r="70" spans="1:35" x14ac:dyDescent="0.3">
      <c r="A70" s="2" t="s">
        <v>150</v>
      </c>
      <c r="B70" s="2" t="s">
        <v>150</v>
      </c>
      <c r="C70" s="16" t="s">
        <v>151</v>
      </c>
      <c r="D70" s="18" t="s">
        <v>152</v>
      </c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19"/>
      <c r="AA70" s="19"/>
      <c r="AB70" s="19"/>
      <c r="AC70" s="19"/>
      <c r="AD70" s="19"/>
      <c r="AE70" s="19"/>
      <c r="AF70" s="19"/>
      <c r="AG70" s="19"/>
      <c r="AH70" s="19"/>
      <c r="AI70" s="19"/>
    </row>
    <row r="71" spans="1:35" x14ac:dyDescent="0.3">
      <c r="A71" s="2" t="s">
        <v>150</v>
      </c>
      <c r="B71" s="2" t="s">
        <v>150</v>
      </c>
      <c r="C71" s="16" t="s">
        <v>153</v>
      </c>
      <c r="D71" s="18" t="s">
        <v>154</v>
      </c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9"/>
      <c r="AA71" s="19"/>
      <c r="AB71" s="19"/>
      <c r="AC71" s="19"/>
      <c r="AD71" s="19"/>
      <c r="AE71" s="19"/>
      <c r="AF71" s="19"/>
      <c r="AG71" s="19"/>
      <c r="AH71" s="19"/>
      <c r="AI71" s="19"/>
    </row>
    <row r="72" spans="1:35" x14ac:dyDescent="0.3">
      <c r="A72" s="2" t="s">
        <v>150</v>
      </c>
      <c r="B72" s="2" t="s">
        <v>150</v>
      </c>
      <c r="C72" s="16" t="s">
        <v>155</v>
      </c>
      <c r="D72" s="18" t="s">
        <v>156</v>
      </c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Z72" s="19"/>
      <c r="AA72" s="19"/>
      <c r="AB72" s="19"/>
      <c r="AC72" s="19"/>
      <c r="AD72" s="19"/>
      <c r="AE72" s="19"/>
      <c r="AF72" s="19"/>
      <c r="AG72" s="19"/>
      <c r="AH72" s="19"/>
      <c r="AI72" s="19"/>
    </row>
    <row r="73" spans="1:35" x14ac:dyDescent="0.3">
      <c r="A73" s="2" t="s">
        <v>150</v>
      </c>
      <c r="B73" s="2" t="s">
        <v>150</v>
      </c>
      <c r="C73" s="16" t="s">
        <v>157</v>
      </c>
      <c r="D73" s="18" t="s">
        <v>158</v>
      </c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Z73" s="19"/>
      <c r="AA73" s="19"/>
      <c r="AB73" s="19"/>
      <c r="AC73" s="19"/>
      <c r="AD73" s="19"/>
      <c r="AE73" s="19"/>
      <c r="AF73" s="19"/>
      <c r="AG73" s="19"/>
      <c r="AH73" s="19"/>
      <c r="AI73" s="19"/>
    </row>
    <row r="74" spans="1:35" x14ac:dyDescent="0.3">
      <c r="A74" s="2" t="s">
        <v>150</v>
      </c>
      <c r="B74" s="2" t="s">
        <v>150</v>
      </c>
      <c r="C74" s="16" t="s">
        <v>159</v>
      </c>
      <c r="D74" s="18" t="s">
        <v>160</v>
      </c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Z74" s="19"/>
      <c r="AA74" s="19"/>
      <c r="AB74" s="19"/>
      <c r="AC74" s="19"/>
      <c r="AD74" s="19"/>
      <c r="AE74" s="19"/>
      <c r="AF74" s="19"/>
      <c r="AG74" s="19"/>
      <c r="AH74" s="19"/>
      <c r="AI74" s="19"/>
    </row>
    <row r="75" spans="1:35" x14ac:dyDescent="0.3">
      <c r="A75" s="2" t="s">
        <v>150</v>
      </c>
      <c r="B75" s="2" t="s">
        <v>150</v>
      </c>
      <c r="C75" s="16" t="s">
        <v>161</v>
      </c>
      <c r="D75" s="18" t="s">
        <v>162</v>
      </c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Z75" s="19"/>
      <c r="AA75" s="19"/>
      <c r="AB75" s="19"/>
      <c r="AC75" s="19"/>
      <c r="AD75" s="19"/>
      <c r="AE75" s="19"/>
      <c r="AF75" s="19"/>
      <c r="AG75" s="19"/>
      <c r="AH75" s="19"/>
      <c r="AI75" s="19"/>
    </row>
    <row r="76" spans="1:35" x14ac:dyDescent="0.3">
      <c r="A76" s="2" t="s">
        <v>150</v>
      </c>
      <c r="B76" s="2" t="s">
        <v>150</v>
      </c>
      <c r="C76" s="16" t="s">
        <v>163</v>
      </c>
      <c r="D76" s="18" t="s">
        <v>164</v>
      </c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Z76" s="19"/>
      <c r="AA76" s="19"/>
      <c r="AB76" s="19"/>
      <c r="AC76" s="19"/>
      <c r="AD76" s="19"/>
      <c r="AE76" s="19"/>
      <c r="AF76" s="19"/>
      <c r="AG76" s="19"/>
      <c r="AH76" s="19"/>
      <c r="AI76" s="19"/>
    </row>
    <row r="77" spans="1:35" x14ac:dyDescent="0.3">
      <c r="A77" s="2" t="s">
        <v>150</v>
      </c>
      <c r="B77" s="2" t="s">
        <v>150</v>
      </c>
      <c r="C77" s="16" t="s">
        <v>165</v>
      </c>
      <c r="D77" s="18" t="s">
        <v>166</v>
      </c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  <c r="Z77" s="19"/>
      <c r="AA77" s="19"/>
      <c r="AB77" s="19"/>
      <c r="AC77" s="19"/>
      <c r="AD77" s="19"/>
      <c r="AE77" s="19"/>
      <c r="AF77" s="19"/>
      <c r="AG77" s="19"/>
      <c r="AH77" s="19"/>
      <c r="AI77" s="19"/>
    </row>
    <row r="78" spans="1:35" x14ac:dyDescent="0.3">
      <c r="A78" s="2" t="s">
        <v>150</v>
      </c>
      <c r="B78" s="2" t="s">
        <v>150</v>
      </c>
      <c r="C78" s="16" t="s">
        <v>167</v>
      </c>
      <c r="D78" s="18" t="s">
        <v>168</v>
      </c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Z78" s="19"/>
      <c r="AA78" s="19"/>
      <c r="AB78" s="19"/>
      <c r="AC78" s="19"/>
      <c r="AD78" s="19"/>
      <c r="AE78" s="19"/>
      <c r="AF78" s="19"/>
      <c r="AG78" s="19"/>
      <c r="AH78" s="19"/>
      <c r="AI78" s="19"/>
    </row>
    <row r="79" spans="1:35" x14ac:dyDescent="0.3">
      <c r="A79" s="2" t="s">
        <v>150</v>
      </c>
      <c r="B79" s="2" t="s">
        <v>150</v>
      </c>
      <c r="C79" s="16" t="s">
        <v>169</v>
      </c>
      <c r="D79" s="18" t="s">
        <v>170</v>
      </c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  <c r="Z79" s="19"/>
      <c r="AA79" s="19"/>
      <c r="AB79" s="19"/>
      <c r="AC79" s="19"/>
      <c r="AD79" s="19"/>
      <c r="AE79" s="19"/>
      <c r="AF79" s="19"/>
      <c r="AG79" s="19"/>
      <c r="AH79" s="19"/>
      <c r="AI79" s="19"/>
    </row>
    <row r="80" spans="1:35" x14ac:dyDescent="0.3">
      <c r="A80" s="2" t="s">
        <v>150</v>
      </c>
      <c r="B80" s="2" t="s">
        <v>150</v>
      </c>
      <c r="C80" s="16" t="s">
        <v>171</v>
      </c>
      <c r="D80" s="18" t="s">
        <v>172</v>
      </c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  <c r="Z80" s="19"/>
      <c r="AA80" s="19"/>
      <c r="AB80" s="19"/>
      <c r="AC80" s="19"/>
      <c r="AD80" s="19"/>
      <c r="AE80" s="19"/>
      <c r="AF80" s="19"/>
      <c r="AG80" s="19"/>
      <c r="AH80" s="19"/>
      <c r="AI80" s="19"/>
    </row>
    <row r="81" spans="1:35" x14ac:dyDescent="0.3">
      <c r="A81" s="2" t="s">
        <v>150</v>
      </c>
      <c r="B81" s="2" t="s">
        <v>150</v>
      </c>
      <c r="C81" s="16" t="s">
        <v>173</v>
      </c>
      <c r="D81" s="18" t="s">
        <v>174</v>
      </c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Z81" s="19"/>
      <c r="AA81" s="19"/>
      <c r="AB81" s="19"/>
      <c r="AC81" s="19"/>
      <c r="AD81" s="19"/>
      <c r="AE81" s="19"/>
      <c r="AF81" s="19"/>
      <c r="AG81" s="19"/>
      <c r="AH81" s="19"/>
      <c r="AI81" s="19"/>
    </row>
    <row r="82" spans="1:35" x14ac:dyDescent="0.3">
      <c r="A82" s="2" t="s">
        <v>150</v>
      </c>
      <c r="B82" s="2" t="s">
        <v>150</v>
      </c>
      <c r="C82" s="16" t="s">
        <v>175</v>
      </c>
      <c r="D82" s="18" t="s">
        <v>176</v>
      </c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9"/>
      <c r="AA82" s="19"/>
      <c r="AB82" s="19"/>
      <c r="AC82" s="19"/>
      <c r="AD82" s="19"/>
      <c r="AE82" s="19"/>
      <c r="AF82" s="19"/>
      <c r="AG82" s="19"/>
      <c r="AH82" s="19"/>
      <c r="AI82" s="19"/>
    </row>
    <row r="83" spans="1:35" x14ac:dyDescent="0.3">
      <c r="A83" s="2" t="s">
        <v>177</v>
      </c>
      <c r="B83" s="2" t="s">
        <v>177</v>
      </c>
      <c r="C83" s="16" t="s">
        <v>178</v>
      </c>
      <c r="D83" s="18" t="s">
        <v>179</v>
      </c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19"/>
      <c r="R83" s="19"/>
      <c r="S83" s="19"/>
      <c r="T83" s="19"/>
      <c r="U83" s="19"/>
      <c r="V83" s="19"/>
      <c r="W83" s="19"/>
      <c r="X83" s="19"/>
      <c r="Y83" s="19"/>
      <c r="Z83" s="19"/>
      <c r="AA83" s="19"/>
      <c r="AB83" s="19"/>
      <c r="AC83" s="19"/>
      <c r="AD83" s="19"/>
      <c r="AE83" s="19"/>
      <c r="AF83" s="19"/>
      <c r="AG83" s="19"/>
      <c r="AH83" s="19"/>
      <c r="AI83" s="19"/>
    </row>
    <row r="84" spans="1:35" x14ac:dyDescent="0.3">
      <c r="A84" s="2" t="s">
        <v>177</v>
      </c>
      <c r="B84" s="2" t="s">
        <v>177</v>
      </c>
      <c r="C84" s="16" t="s">
        <v>180</v>
      </c>
      <c r="D84" s="18" t="s">
        <v>181</v>
      </c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19"/>
      <c r="V84" s="19"/>
      <c r="W84" s="19"/>
      <c r="X84" s="19"/>
      <c r="Y84" s="19"/>
      <c r="Z84" s="19"/>
      <c r="AA84" s="19"/>
      <c r="AB84" s="19"/>
      <c r="AC84" s="19"/>
      <c r="AD84" s="19"/>
      <c r="AE84" s="19"/>
      <c r="AF84" s="19"/>
      <c r="AG84" s="19"/>
      <c r="AH84" s="19"/>
      <c r="AI84" s="19"/>
    </row>
    <row r="85" spans="1:35" x14ac:dyDescent="0.3">
      <c r="A85" s="2" t="s">
        <v>177</v>
      </c>
      <c r="B85" s="2" t="s">
        <v>177</v>
      </c>
      <c r="C85" s="16" t="s">
        <v>182</v>
      </c>
      <c r="D85" s="18" t="s">
        <v>183</v>
      </c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  <c r="Q85" s="19"/>
      <c r="R85" s="19"/>
      <c r="S85" s="19"/>
      <c r="T85" s="19"/>
      <c r="U85" s="19"/>
      <c r="V85" s="19"/>
      <c r="W85" s="19"/>
      <c r="X85" s="19"/>
      <c r="Y85" s="19"/>
      <c r="Z85" s="19"/>
      <c r="AA85" s="19"/>
      <c r="AB85" s="19"/>
      <c r="AC85" s="19"/>
      <c r="AD85" s="19"/>
      <c r="AE85" s="19"/>
      <c r="AF85" s="19"/>
      <c r="AG85" s="19"/>
      <c r="AH85" s="19"/>
      <c r="AI85" s="19"/>
    </row>
    <row r="86" spans="1:35" x14ac:dyDescent="0.3">
      <c r="A86" s="2" t="s">
        <v>184</v>
      </c>
      <c r="B86" s="2" t="s">
        <v>184</v>
      </c>
      <c r="C86" s="16" t="s">
        <v>185</v>
      </c>
      <c r="D86" s="18" t="s">
        <v>186</v>
      </c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9"/>
      <c r="AA86" s="19"/>
      <c r="AB86" s="19"/>
      <c r="AC86" s="19"/>
      <c r="AD86" s="19"/>
      <c r="AE86" s="19"/>
      <c r="AF86" s="19"/>
      <c r="AG86" s="19"/>
      <c r="AH86" s="19"/>
      <c r="AI86" s="19"/>
    </row>
    <row r="87" spans="1:35" x14ac:dyDescent="0.3">
      <c r="A87" s="2" t="s">
        <v>184</v>
      </c>
      <c r="B87" s="2" t="s">
        <v>184</v>
      </c>
      <c r="C87" s="16" t="s">
        <v>187</v>
      </c>
      <c r="D87" s="18" t="s">
        <v>188</v>
      </c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  <c r="T87" s="19"/>
      <c r="U87" s="19"/>
      <c r="V87" s="19"/>
      <c r="W87" s="19"/>
      <c r="X87" s="19"/>
      <c r="Y87" s="19"/>
      <c r="Z87" s="19"/>
      <c r="AA87" s="19"/>
      <c r="AB87" s="19"/>
      <c r="AC87" s="19"/>
      <c r="AD87" s="19"/>
      <c r="AE87" s="19"/>
      <c r="AF87" s="19"/>
      <c r="AG87" s="19"/>
      <c r="AH87" s="19"/>
      <c r="AI87" s="19"/>
    </row>
    <row r="88" spans="1:35" x14ac:dyDescent="0.3">
      <c r="A88" s="2" t="s">
        <v>184</v>
      </c>
      <c r="B88" s="2" t="s">
        <v>184</v>
      </c>
      <c r="C88" s="16" t="s">
        <v>189</v>
      </c>
      <c r="D88" s="18" t="s">
        <v>190</v>
      </c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  <c r="W88" s="19"/>
      <c r="X88" s="19"/>
      <c r="Y88" s="19"/>
      <c r="Z88" s="19"/>
      <c r="AA88" s="19"/>
      <c r="AB88" s="19"/>
      <c r="AC88" s="19"/>
      <c r="AD88" s="19"/>
      <c r="AE88" s="19"/>
      <c r="AF88" s="19"/>
      <c r="AG88" s="19"/>
      <c r="AH88" s="19"/>
      <c r="AI88" s="19"/>
    </row>
    <row r="89" spans="1:35" x14ac:dyDescent="0.3">
      <c r="A89" s="2" t="s">
        <v>184</v>
      </c>
      <c r="B89" s="2" t="s">
        <v>184</v>
      </c>
      <c r="C89" s="16" t="s">
        <v>191</v>
      </c>
      <c r="D89" s="18" t="s">
        <v>192</v>
      </c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  <c r="S89" s="19"/>
      <c r="T89" s="19"/>
      <c r="U89" s="19"/>
      <c r="V89" s="19"/>
      <c r="W89" s="19"/>
      <c r="X89" s="19"/>
      <c r="Y89" s="19"/>
      <c r="Z89" s="19"/>
      <c r="AA89" s="19"/>
      <c r="AB89" s="19"/>
      <c r="AC89" s="19"/>
      <c r="AD89" s="19"/>
      <c r="AE89" s="19"/>
      <c r="AF89" s="19"/>
      <c r="AG89" s="19"/>
      <c r="AH89" s="19"/>
      <c r="AI89" s="19"/>
    </row>
    <row r="90" spans="1:35" x14ac:dyDescent="0.3">
      <c r="A90" s="2" t="s">
        <v>184</v>
      </c>
      <c r="B90" s="2" t="s">
        <v>184</v>
      </c>
      <c r="C90" s="16" t="s">
        <v>193</v>
      </c>
      <c r="D90" s="18" t="s">
        <v>194</v>
      </c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  <c r="S90" s="19"/>
      <c r="T90" s="19"/>
      <c r="U90" s="19"/>
      <c r="V90" s="19"/>
      <c r="W90" s="19"/>
      <c r="X90" s="19"/>
      <c r="Y90" s="19"/>
      <c r="Z90" s="19"/>
      <c r="AA90" s="19"/>
      <c r="AB90" s="19"/>
      <c r="AC90" s="19"/>
      <c r="AD90" s="19"/>
      <c r="AE90" s="19"/>
      <c r="AF90" s="19"/>
      <c r="AG90" s="19"/>
      <c r="AH90" s="19"/>
      <c r="AI90" s="19"/>
    </row>
    <row r="91" spans="1:35" x14ac:dyDescent="0.3">
      <c r="A91" s="2" t="s">
        <v>184</v>
      </c>
      <c r="B91" s="2" t="s">
        <v>184</v>
      </c>
      <c r="C91" s="16" t="s">
        <v>195</v>
      </c>
      <c r="D91" s="18" t="s">
        <v>196</v>
      </c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  <c r="Q91" s="19"/>
      <c r="R91" s="19"/>
      <c r="S91" s="19"/>
      <c r="T91" s="19"/>
      <c r="U91" s="19"/>
      <c r="V91" s="19"/>
      <c r="W91" s="19"/>
      <c r="X91" s="19"/>
      <c r="Y91" s="19"/>
      <c r="Z91" s="19"/>
      <c r="AA91" s="19"/>
      <c r="AB91" s="19"/>
      <c r="AC91" s="19"/>
      <c r="AD91" s="19"/>
      <c r="AE91" s="19"/>
      <c r="AF91" s="19"/>
      <c r="AG91" s="19"/>
      <c r="AH91" s="19"/>
      <c r="AI91" s="19"/>
    </row>
    <row r="92" spans="1:35" x14ac:dyDescent="0.3">
      <c r="A92" s="2" t="s">
        <v>197</v>
      </c>
      <c r="B92" s="2" t="s">
        <v>197</v>
      </c>
      <c r="C92" s="16" t="s">
        <v>198</v>
      </c>
      <c r="D92" s="18" t="s">
        <v>199</v>
      </c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19"/>
      <c r="Y92" s="19"/>
      <c r="Z92" s="19"/>
      <c r="AA92" s="19"/>
      <c r="AB92" s="19"/>
      <c r="AC92" s="19"/>
      <c r="AD92" s="19"/>
      <c r="AE92" s="19"/>
      <c r="AF92" s="19"/>
      <c r="AG92" s="19"/>
      <c r="AH92" s="19"/>
      <c r="AI92" s="19"/>
    </row>
    <row r="93" spans="1:35" x14ac:dyDescent="0.3">
      <c r="A93" s="2" t="s">
        <v>197</v>
      </c>
      <c r="B93" s="2" t="s">
        <v>197</v>
      </c>
      <c r="C93" s="16" t="s">
        <v>200</v>
      </c>
      <c r="D93" s="18" t="s">
        <v>201</v>
      </c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  <c r="Q93" s="19"/>
      <c r="R93" s="19"/>
      <c r="S93" s="19"/>
      <c r="T93" s="19"/>
      <c r="U93" s="19"/>
      <c r="V93" s="19"/>
      <c r="W93" s="19"/>
      <c r="X93" s="19"/>
      <c r="Y93" s="19"/>
      <c r="Z93" s="19"/>
      <c r="AA93" s="19"/>
      <c r="AB93" s="19"/>
      <c r="AC93" s="19"/>
      <c r="AD93" s="19"/>
      <c r="AE93" s="19"/>
      <c r="AF93" s="19"/>
      <c r="AG93" s="19"/>
      <c r="AH93" s="19"/>
      <c r="AI93" s="19"/>
    </row>
    <row r="94" spans="1:35" x14ac:dyDescent="0.3">
      <c r="A94" s="2" t="s">
        <v>202</v>
      </c>
      <c r="B94" s="2" t="s">
        <v>202</v>
      </c>
      <c r="C94" s="16" t="s">
        <v>203</v>
      </c>
      <c r="D94" s="18" t="s">
        <v>204</v>
      </c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  <c r="W94" s="19"/>
      <c r="X94" s="19"/>
      <c r="Y94" s="19"/>
      <c r="Z94" s="19"/>
      <c r="AA94" s="19"/>
      <c r="AB94" s="19"/>
      <c r="AC94" s="19"/>
      <c r="AD94" s="19"/>
      <c r="AE94" s="19"/>
      <c r="AF94" s="19"/>
      <c r="AG94" s="19"/>
      <c r="AH94" s="19"/>
      <c r="AI94" s="19"/>
    </row>
    <row r="95" spans="1:35" x14ac:dyDescent="0.3">
      <c r="A95" s="2" t="s">
        <v>202</v>
      </c>
      <c r="B95" s="2" t="s">
        <v>202</v>
      </c>
      <c r="C95" s="16" t="s">
        <v>205</v>
      </c>
      <c r="D95" s="18" t="s">
        <v>206</v>
      </c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  <c r="Q95" s="19"/>
      <c r="R95" s="19"/>
      <c r="S95" s="19"/>
      <c r="T95" s="19"/>
      <c r="U95" s="19"/>
      <c r="V95" s="19"/>
      <c r="W95" s="19"/>
      <c r="X95" s="19"/>
      <c r="Y95" s="19"/>
      <c r="Z95" s="19"/>
      <c r="AA95" s="19"/>
      <c r="AB95" s="19"/>
      <c r="AC95" s="19"/>
      <c r="AD95" s="19"/>
      <c r="AE95" s="19"/>
      <c r="AF95" s="19"/>
      <c r="AG95" s="19"/>
      <c r="AH95" s="19"/>
      <c r="AI95" s="19"/>
    </row>
    <row r="96" spans="1:35" x14ac:dyDescent="0.3">
      <c r="A96" s="2" t="s">
        <v>202</v>
      </c>
      <c r="B96" s="2" t="s">
        <v>202</v>
      </c>
      <c r="C96" s="16" t="s">
        <v>207</v>
      </c>
      <c r="D96" s="18" t="s">
        <v>208</v>
      </c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9"/>
      <c r="U96" s="19"/>
      <c r="V96" s="19"/>
      <c r="W96" s="19"/>
      <c r="X96" s="19"/>
      <c r="Y96" s="19"/>
      <c r="Z96" s="19"/>
      <c r="AA96" s="19"/>
      <c r="AB96" s="19"/>
      <c r="AC96" s="19"/>
      <c r="AD96" s="19"/>
      <c r="AE96" s="19"/>
      <c r="AF96" s="19"/>
      <c r="AG96" s="19"/>
      <c r="AH96" s="19"/>
      <c r="AI96" s="19"/>
    </row>
    <row r="97" spans="1:35" x14ac:dyDescent="0.3">
      <c r="A97" s="2" t="s">
        <v>202</v>
      </c>
      <c r="B97" s="2" t="s">
        <v>202</v>
      </c>
      <c r="C97" s="16" t="s">
        <v>209</v>
      </c>
      <c r="D97" s="18" t="s">
        <v>210</v>
      </c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/>
      <c r="T97" s="19"/>
      <c r="U97" s="19"/>
      <c r="V97" s="19"/>
      <c r="W97" s="19"/>
      <c r="X97" s="19"/>
      <c r="Y97" s="19"/>
      <c r="Z97" s="19"/>
      <c r="AA97" s="19"/>
      <c r="AB97" s="19"/>
      <c r="AC97" s="19"/>
      <c r="AD97" s="19"/>
      <c r="AE97" s="19"/>
      <c r="AF97" s="19"/>
      <c r="AG97" s="19"/>
      <c r="AH97" s="19"/>
      <c r="AI97" s="19"/>
    </row>
    <row r="98" spans="1:35" x14ac:dyDescent="0.3">
      <c r="A98" s="2" t="s">
        <v>202</v>
      </c>
      <c r="B98" s="2" t="s">
        <v>202</v>
      </c>
      <c r="C98" s="16" t="s">
        <v>211</v>
      </c>
      <c r="D98" s="18" t="s">
        <v>212</v>
      </c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  <c r="Z98" s="19"/>
      <c r="AA98" s="19"/>
      <c r="AB98" s="19"/>
      <c r="AC98" s="19"/>
      <c r="AD98" s="19"/>
      <c r="AE98" s="19"/>
      <c r="AF98" s="19"/>
      <c r="AG98" s="19"/>
      <c r="AH98" s="19"/>
      <c r="AI98" s="19"/>
    </row>
    <row r="99" spans="1:35" x14ac:dyDescent="0.3">
      <c r="A99" s="2" t="s">
        <v>202</v>
      </c>
      <c r="B99" s="2" t="s">
        <v>202</v>
      </c>
      <c r="C99" s="16" t="s">
        <v>213</v>
      </c>
      <c r="D99" s="18" t="s">
        <v>214</v>
      </c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19"/>
      <c r="Q99" s="19"/>
      <c r="R99" s="19"/>
      <c r="S99" s="19"/>
      <c r="T99" s="19"/>
      <c r="U99" s="19"/>
      <c r="V99" s="19"/>
      <c r="W99" s="19"/>
      <c r="X99" s="19"/>
      <c r="Y99" s="19"/>
      <c r="Z99" s="19"/>
      <c r="AA99" s="19"/>
      <c r="AB99" s="19"/>
      <c r="AC99" s="19"/>
      <c r="AD99" s="19"/>
      <c r="AE99" s="19"/>
      <c r="AF99" s="19"/>
      <c r="AG99" s="19"/>
      <c r="AH99" s="19"/>
      <c r="AI99" s="19"/>
    </row>
    <row r="100" spans="1:35" x14ac:dyDescent="0.3">
      <c r="A100" s="2" t="s">
        <v>202</v>
      </c>
      <c r="B100" s="2" t="s">
        <v>202</v>
      </c>
      <c r="C100" s="16" t="s">
        <v>215</v>
      </c>
      <c r="D100" s="18" t="s">
        <v>216</v>
      </c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  <c r="P100" s="19"/>
      <c r="Q100" s="19"/>
      <c r="R100" s="19"/>
      <c r="S100" s="19"/>
      <c r="T100" s="19"/>
      <c r="U100" s="19"/>
      <c r="V100" s="19"/>
      <c r="W100" s="19"/>
      <c r="X100" s="19"/>
      <c r="Y100" s="19"/>
      <c r="Z100" s="19"/>
      <c r="AA100" s="19"/>
      <c r="AB100" s="19"/>
      <c r="AC100" s="19"/>
      <c r="AD100" s="19"/>
      <c r="AE100" s="19"/>
      <c r="AF100" s="19"/>
      <c r="AG100" s="19"/>
      <c r="AH100" s="19"/>
      <c r="AI100" s="19"/>
    </row>
    <row r="101" spans="1:35" x14ac:dyDescent="0.3">
      <c r="A101" s="2" t="s">
        <v>202</v>
      </c>
      <c r="B101" s="2" t="s">
        <v>202</v>
      </c>
      <c r="C101" s="16" t="s">
        <v>217</v>
      </c>
      <c r="D101" s="18" t="s">
        <v>218</v>
      </c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</row>
    <row r="102" spans="1:35" x14ac:dyDescent="0.3">
      <c r="A102" s="2" t="s">
        <v>202</v>
      </c>
      <c r="B102" s="2" t="s">
        <v>202</v>
      </c>
      <c r="C102" s="16" t="s">
        <v>219</v>
      </c>
      <c r="D102" s="18" t="s">
        <v>220</v>
      </c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</row>
    <row r="103" spans="1:35" x14ac:dyDescent="0.3">
      <c r="A103" s="2" t="s">
        <v>202</v>
      </c>
      <c r="B103" s="2" t="s">
        <v>202</v>
      </c>
      <c r="C103" s="16" t="s">
        <v>221</v>
      </c>
      <c r="D103" s="18" t="s">
        <v>222</v>
      </c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</row>
    <row r="104" spans="1:35" x14ac:dyDescent="0.3">
      <c r="A104" s="2" t="s">
        <v>202</v>
      </c>
      <c r="B104" s="2" t="s">
        <v>202</v>
      </c>
      <c r="C104" s="16" t="s">
        <v>223</v>
      </c>
      <c r="D104" s="18" t="s">
        <v>224</v>
      </c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</row>
    <row r="105" spans="1:35" x14ac:dyDescent="0.3">
      <c r="A105" s="2" t="s">
        <v>202</v>
      </c>
      <c r="B105" s="2" t="s">
        <v>202</v>
      </c>
      <c r="C105" s="16" t="s">
        <v>225</v>
      </c>
      <c r="D105" s="18" t="s">
        <v>226</v>
      </c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</row>
    <row r="106" spans="1:35" x14ac:dyDescent="0.3">
      <c r="A106" s="2" t="s">
        <v>202</v>
      </c>
      <c r="B106" s="2" t="s">
        <v>202</v>
      </c>
      <c r="C106" s="16" t="s">
        <v>227</v>
      </c>
      <c r="D106" s="18" t="s">
        <v>228</v>
      </c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</row>
    <row r="107" spans="1:35" x14ac:dyDescent="0.3">
      <c r="A107" s="2" t="s">
        <v>202</v>
      </c>
      <c r="B107" s="2" t="s">
        <v>202</v>
      </c>
      <c r="C107" s="16" t="s">
        <v>229</v>
      </c>
      <c r="D107" s="18" t="s">
        <v>230</v>
      </c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</row>
    <row r="108" spans="1:35" x14ac:dyDescent="0.3">
      <c r="A108" s="2" t="s">
        <v>202</v>
      </c>
      <c r="B108" s="2" t="s">
        <v>202</v>
      </c>
      <c r="C108" s="16" t="s">
        <v>231</v>
      </c>
      <c r="D108" s="18" t="s">
        <v>232</v>
      </c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</row>
    <row r="109" spans="1:35" x14ac:dyDescent="0.3">
      <c r="A109" s="2" t="s">
        <v>202</v>
      </c>
      <c r="B109" s="2" t="s">
        <v>202</v>
      </c>
      <c r="C109" s="16" t="s">
        <v>233</v>
      </c>
      <c r="D109" s="18" t="s">
        <v>234</v>
      </c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</row>
    <row r="110" spans="1:35" x14ac:dyDescent="0.3">
      <c r="A110" s="2" t="s">
        <v>235</v>
      </c>
      <c r="B110" s="2" t="s">
        <v>235</v>
      </c>
      <c r="C110" s="16" t="s">
        <v>236</v>
      </c>
      <c r="D110" s="18" t="s">
        <v>237</v>
      </c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</row>
    <row r="111" spans="1:35" x14ac:dyDescent="0.3">
      <c r="A111" s="2" t="s">
        <v>235</v>
      </c>
      <c r="B111" s="2" t="s">
        <v>235</v>
      </c>
      <c r="C111" s="16" t="s">
        <v>238</v>
      </c>
      <c r="D111" s="18" t="s">
        <v>239</v>
      </c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</row>
    <row r="112" spans="1:35" x14ac:dyDescent="0.3">
      <c r="A112" s="2" t="s">
        <v>235</v>
      </c>
      <c r="B112" s="2" t="s">
        <v>235</v>
      </c>
      <c r="C112" s="16" t="s">
        <v>240</v>
      </c>
      <c r="D112" s="18" t="s">
        <v>241</v>
      </c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</row>
    <row r="113" spans="1:35" x14ac:dyDescent="0.3">
      <c r="A113" s="2" t="s">
        <v>235</v>
      </c>
      <c r="B113" s="2" t="s">
        <v>235</v>
      </c>
      <c r="C113" s="16" t="s">
        <v>242</v>
      </c>
      <c r="D113" s="18" t="s">
        <v>243</v>
      </c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  <c r="AI113" s="19"/>
    </row>
    <row r="114" spans="1:35" x14ac:dyDescent="0.3">
      <c r="A114" s="2" t="s">
        <v>235</v>
      </c>
      <c r="B114" s="2" t="s">
        <v>235</v>
      </c>
      <c r="C114" s="16" t="s">
        <v>244</v>
      </c>
      <c r="D114" s="18" t="s">
        <v>245</v>
      </c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</row>
    <row r="115" spans="1:35" x14ac:dyDescent="0.3">
      <c r="A115" s="2" t="s">
        <v>235</v>
      </c>
      <c r="B115" s="2" t="s">
        <v>235</v>
      </c>
      <c r="C115" s="16" t="s">
        <v>246</v>
      </c>
      <c r="D115" s="18" t="s">
        <v>247</v>
      </c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</row>
    <row r="116" spans="1:35" x14ac:dyDescent="0.3">
      <c r="A116" s="2" t="s">
        <v>248</v>
      </c>
      <c r="B116" s="2" t="s">
        <v>248</v>
      </c>
      <c r="C116" s="16" t="s">
        <v>249</v>
      </c>
      <c r="D116" s="18" t="s">
        <v>250</v>
      </c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19"/>
      <c r="P116" s="19"/>
      <c r="Q116" s="19"/>
      <c r="R116" s="19"/>
      <c r="S116" s="19"/>
      <c r="T116" s="19"/>
      <c r="U116" s="19"/>
      <c r="V116" s="19"/>
      <c r="W116" s="19"/>
      <c r="X116" s="19"/>
      <c r="Y116" s="19"/>
      <c r="Z116" s="19"/>
      <c r="AA116" s="19"/>
      <c r="AB116" s="19"/>
      <c r="AC116" s="19"/>
      <c r="AD116" s="19"/>
      <c r="AE116" s="19"/>
      <c r="AF116" s="19"/>
      <c r="AG116" s="19"/>
      <c r="AH116" s="19"/>
      <c r="AI116" s="19"/>
    </row>
    <row r="117" spans="1:35" x14ac:dyDescent="0.3">
      <c r="A117" s="2" t="s">
        <v>248</v>
      </c>
      <c r="B117" s="2" t="s">
        <v>248</v>
      </c>
      <c r="C117" s="16" t="s">
        <v>251</v>
      </c>
      <c r="D117" s="18" t="s">
        <v>252</v>
      </c>
      <c r="E117" s="19"/>
      <c r="F117" s="19"/>
      <c r="G117" s="19"/>
      <c r="H117" s="19"/>
      <c r="I117" s="19"/>
      <c r="J117" s="19"/>
      <c r="K117" s="19"/>
      <c r="L117" s="19"/>
      <c r="M117" s="19"/>
      <c r="N117" s="19"/>
      <c r="O117" s="19"/>
      <c r="P117" s="19"/>
      <c r="Q117" s="19"/>
      <c r="R117" s="19"/>
      <c r="S117" s="19"/>
      <c r="T117" s="19"/>
      <c r="U117" s="19"/>
      <c r="V117" s="19"/>
      <c r="W117" s="19"/>
      <c r="X117" s="19"/>
      <c r="Y117" s="19"/>
      <c r="Z117" s="19"/>
      <c r="AA117" s="19"/>
      <c r="AB117" s="19"/>
      <c r="AC117" s="19"/>
      <c r="AD117" s="19"/>
      <c r="AE117" s="19"/>
      <c r="AF117" s="19"/>
      <c r="AG117" s="19"/>
      <c r="AH117" s="19"/>
      <c r="AI117" s="19"/>
    </row>
    <row r="118" spans="1:35" x14ac:dyDescent="0.3">
      <c r="A118" s="2" t="s">
        <v>248</v>
      </c>
      <c r="B118" s="2" t="s">
        <v>248</v>
      </c>
      <c r="C118" s="16" t="s">
        <v>253</v>
      </c>
      <c r="D118" s="18" t="s">
        <v>254</v>
      </c>
      <c r="E118" s="19"/>
      <c r="F118" s="19"/>
      <c r="G118" s="19"/>
      <c r="H118" s="19"/>
      <c r="I118" s="19"/>
      <c r="J118" s="19"/>
      <c r="K118" s="19"/>
      <c r="L118" s="19"/>
      <c r="M118" s="19"/>
      <c r="N118" s="19"/>
      <c r="O118" s="19"/>
      <c r="P118" s="19"/>
      <c r="Q118" s="19"/>
      <c r="R118" s="19"/>
      <c r="S118" s="19"/>
      <c r="T118" s="19"/>
      <c r="U118" s="19"/>
      <c r="V118" s="19"/>
      <c r="W118" s="19"/>
      <c r="X118" s="19"/>
      <c r="Y118" s="19"/>
      <c r="Z118" s="19"/>
      <c r="AA118" s="19"/>
      <c r="AB118" s="19"/>
      <c r="AC118" s="19"/>
      <c r="AD118" s="19"/>
      <c r="AE118" s="19"/>
      <c r="AF118" s="19"/>
      <c r="AG118" s="19"/>
      <c r="AH118" s="19"/>
      <c r="AI118" s="19"/>
    </row>
    <row r="119" spans="1:35" x14ac:dyDescent="0.3">
      <c r="A119" s="2" t="s">
        <v>248</v>
      </c>
      <c r="B119" s="2" t="s">
        <v>248</v>
      </c>
      <c r="C119" s="16" t="s">
        <v>255</v>
      </c>
      <c r="D119" s="18" t="s">
        <v>256</v>
      </c>
      <c r="E119" s="19"/>
      <c r="F119" s="19"/>
      <c r="G119" s="19"/>
      <c r="H119" s="19"/>
      <c r="I119" s="19"/>
      <c r="J119" s="19"/>
      <c r="K119" s="19"/>
      <c r="L119" s="19"/>
      <c r="M119" s="19"/>
      <c r="N119" s="19"/>
      <c r="O119" s="19"/>
      <c r="P119" s="19"/>
      <c r="Q119" s="19"/>
      <c r="R119" s="19"/>
      <c r="S119" s="19"/>
      <c r="T119" s="19"/>
      <c r="U119" s="19"/>
      <c r="V119" s="19"/>
      <c r="W119" s="19"/>
      <c r="X119" s="19"/>
      <c r="Y119" s="19"/>
      <c r="Z119" s="19"/>
      <c r="AA119" s="19"/>
      <c r="AB119" s="19"/>
      <c r="AC119" s="19"/>
      <c r="AD119" s="19"/>
      <c r="AE119" s="19"/>
      <c r="AF119" s="19"/>
      <c r="AG119" s="19"/>
      <c r="AH119" s="19"/>
      <c r="AI119" s="19"/>
    </row>
    <row r="120" spans="1:35" x14ac:dyDescent="0.3">
      <c r="A120" s="2" t="s">
        <v>248</v>
      </c>
      <c r="B120" s="2" t="s">
        <v>248</v>
      </c>
      <c r="C120" s="16" t="s">
        <v>257</v>
      </c>
      <c r="D120" s="18" t="s">
        <v>258</v>
      </c>
      <c r="E120" s="19"/>
      <c r="F120" s="19"/>
      <c r="G120" s="19"/>
      <c r="H120" s="19"/>
      <c r="I120" s="19"/>
      <c r="J120" s="19"/>
      <c r="K120" s="19"/>
      <c r="L120" s="19"/>
      <c r="M120" s="19"/>
      <c r="N120" s="19"/>
      <c r="O120" s="19"/>
      <c r="P120" s="19"/>
      <c r="Q120" s="19"/>
      <c r="R120" s="19"/>
      <c r="S120" s="19"/>
      <c r="T120" s="19"/>
      <c r="U120" s="19"/>
      <c r="V120" s="19"/>
      <c r="W120" s="19"/>
      <c r="X120" s="19"/>
      <c r="Y120" s="19"/>
      <c r="Z120" s="19"/>
      <c r="AA120" s="19"/>
      <c r="AB120" s="19"/>
      <c r="AC120" s="19"/>
      <c r="AD120" s="19"/>
      <c r="AE120" s="19"/>
      <c r="AF120" s="19"/>
      <c r="AG120" s="19"/>
      <c r="AH120" s="19"/>
      <c r="AI120" s="19"/>
    </row>
    <row r="121" spans="1:35" x14ac:dyDescent="0.3">
      <c r="A121" s="2" t="s">
        <v>248</v>
      </c>
      <c r="B121" s="2" t="s">
        <v>248</v>
      </c>
      <c r="C121" s="16" t="s">
        <v>259</v>
      </c>
      <c r="D121" s="18" t="s">
        <v>260</v>
      </c>
      <c r="E121" s="19"/>
      <c r="F121" s="19"/>
      <c r="G121" s="19"/>
      <c r="H121" s="19"/>
      <c r="I121" s="19"/>
      <c r="J121" s="19"/>
      <c r="K121" s="19"/>
      <c r="L121" s="19"/>
      <c r="M121" s="19"/>
      <c r="N121" s="19"/>
      <c r="O121" s="19"/>
      <c r="P121" s="19"/>
      <c r="Q121" s="19"/>
      <c r="R121" s="19"/>
      <c r="S121" s="19"/>
      <c r="T121" s="19"/>
      <c r="U121" s="19"/>
      <c r="V121" s="19"/>
      <c r="W121" s="19"/>
      <c r="X121" s="19"/>
      <c r="Y121" s="19"/>
      <c r="Z121" s="19"/>
      <c r="AA121" s="19"/>
      <c r="AB121" s="19"/>
      <c r="AC121" s="19"/>
      <c r="AD121" s="19"/>
      <c r="AE121" s="19"/>
      <c r="AF121" s="19"/>
      <c r="AG121" s="19"/>
      <c r="AH121" s="19"/>
      <c r="AI121" s="19"/>
    </row>
    <row r="122" spans="1:35" x14ac:dyDescent="0.3">
      <c r="A122" s="2" t="s">
        <v>248</v>
      </c>
      <c r="B122" s="2" t="s">
        <v>248</v>
      </c>
      <c r="C122" s="16" t="s">
        <v>261</v>
      </c>
      <c r="D122" s="18" t="s">
        <v>262</v>
      </c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19"/>
      <c r="P122" s="19"/>
      <c r="Q122" s="19"/>
      <c r="R122" s="19"/>
      <c r="S122" s="19"/>
      <c r="T122" s="19"/>
      <c r="U122" s="19"/>
      <c r="V122" s="19"/>
      <c r="W122" s="19"/>
      <c r="X122" s="19"/>
      <c r="Y122" s="19"/>
      <c r="Z122" s="19"/>
      <c r="AA122" s="19"/>
      <c r="AB122" s="19"/>
      <c r="AC122" s="19"/>
      <c r="AD122" s="19"/>
      <c r="AE122" s="19"/>
      <c r="AF122" s="19"/>
      <c r="AG122" s="19"/>
      <c r="AH122" s="19"/>
      <c r="AI122" s="19"/>
    </row>
    <row r="123" spans="1:35" x14ac:dyDescent="0.3">
      <c r="A123" s="2" t="s">
        <v>248</v>
      </c>
      <c r="B123" s="2" t="s">
        <v>248</v>
      </c>
      <c r="C123" s="16" t="s">
        <v>263</v>
      </c>
      <c r="D123" s="18" t="s">
        <v>264</v>
      </c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9"/>
      <c r="AA123" s="19"/>
      <c r="AB123" s="19"/>
      <c r="AC123" s="19"/>
      <c r="AD123" s="19"/>
      <c r="AE123" s="19"/>
      <c r="AF123" s="19"/>
      <c r="AG123" s="19"/>
      <c r="AH123" s="19"/>
      <c r="AI123" s="19"/>
    </row>
    <row r="124" spans="1:35" x14ac:dyDescent="0.3">
      <c r="A124" s="2" t="s">
        <v>265</v>
      </c>
      <c r="B124" s="2" t="s">
        <v>265</v>
      </c>
      <c r="C124" s="16" t="s">
        <v>266</v>
      </c>
      <c r="D124" s="18" t="s">
        <v>267</v>
      </c>
      <c r="E124" s="19"/>
      <c r="F124" s="19"/>
      <c r="G124" s="19"/>
      <c r="H124" s="19"/>
      <c r="I124" s="19"/>
      <c r="J124" s="19"/>
      <c r="K124" s="19"/>
      <c r="L124" s="19"/>
      <c r="M124" s="19"/>
      <c r="N124" s="19"/>
      <c r="O124" s="19"/>
      <c r="P124" s="19"/>
      <c r="Q124" s="19"/>
      <c r="R124" s="19"/>
      <c r="S124" s="19"/>
      <c r="T124" s="19"/>
      <c r="U124" s="19"/>
      <c r="V124" s="19"/>
      <c r="W124" s="19"/>
      <c r="X124" s="19"/>
      <c r="Y124" s="19"/>
      <c r="Z124" s="19"/>
      <c r="AA124" s="19"/>
      <c r="AB124" s="19"/>
      <c r="AC124" s="19"/>
      <c r="AD124" s="19"/>
      <c r="AE124" s="19"/>
      <c r="AF124" s="19"/>
      <c r="AG124" s="19"/>
      <c r="AH124" s="19"/>
      <c r="AI124" s="19"/>
    </row>
    <row r="125" spans="1:35" x14ac:dyDescent="0.3">
      <c r="A125" s="2" t="s">
        <v>265</v>
      </c>
      <c r="B125" s="2" t="s">
        <v>265</v>
      </c>
      <c r="C125" s="16" t="s">
        <v>268</v>
      </c>
      <c r="D125" s="18" t="s">
        <v>269</v>
      </c>
      <c r="E125" s="19"/>
      <c r="F125" s="19"/>
      <c r="G125" s="19"/>
      <c r="H125" s="19"/>
      <c r="I125" s="19"/>
      <c r="J125" s="19"/>
      <c r="K125" s="19"/>
      <c r="L125" s="19"/>
      <c r="M125" s="19"/>
      <c r="N125" s="19"/>
      <c r="O125" s="19"/>
      <c r="P125" s="19"/>
      <c r="Q125" s="19"/>
      <c r="R125" s="19"/>
      <c r="S125" s="19"/>
      <c r="T125" s="19"/>
      <c r="U125" s="19"/>
      <c r="V125" s="19"/>
      <c r="W125" s="19"/>
      <c r="X125" s="19"/>
      <c r="Y125" s="19"/>
      <c r="Z125" s="19"/>
      <c r="AA125" s="19"/>
      <c r="AB125" s="19"/>
      <c r="AC125" s="19"/>
      <c r="AD125" s="19"/>
      <c r="AE125" s="19"/>
      <c r="AF125" s="19"/>
      <c r="AG125" s="19"/>
      <c r="AH125" s="19"/>
      <c r="AI125" s="19"/>
    </row>
    <row r="126" spans="1:35" x14ac:dyDescent="0.3">
      <c r="A126" s="2" t="s">
        <v>265</v>
      </c>
      <c r="B126" s="2" t="s">
        <v>265</v>
      </c>
      <c r="C126" s="16" t="s">
        <v>270</v>
      </c>
      <c r="D126" s="18" t="s">
        <v>271</v>
      </c>
      <c r="E126" s="19"/>
      <c r="F126" s="19"/>
      <c r="G126" s="19"/>
      <c r="H126" s="19"/>
      <c r="I126" s="19"/>
      <c r="J126" s="19"/>
      <c r="K126" s="19"/>
      <c r="L126" s="19"/>
      <c r="M126" s="19"/>
      <c r="N126" s="19"/>
      <c r="O126" s="19"/>
      <c r="P126" s="19"/>
      <c r="Q126" s="19"/>
      <c r="R126" s="19"/>
      <c r="S126" s="19"/>
      <c r="T126" s="19"/>
      <c r="U126" s="19"/>
      <c r="V126" s="19"/>
      <c r="W126" s="19"/>
      <c r="X126" s="19"/>
      <c r="Y126" s="19"/>
      <c r="Z126" s="19"/>
      <c r="AA126" s="19"/>
      <c r="AB126" s="19"/>
      <c r="AC126" s="19"/>
      <c r="AD126" s="19"/>
      <c r="AE126" s="19"/>
      <c r="AF126" s="19"/>
      <c r="AG126" s="19"/>
      <c r="AH126" s="19"/>
      <c r="AI126" s="19"/>
    </row>
    <row r="127" spans="1:35" x14ac:dyDescent="0.3">
      <c r="A127" s="2" t="s">
        <v>265</v>
      </c>
      <c r="B127" s="2" t="s">
        <v>265</v>
      </c>
      <c r="C127" s="16" t="s">
        <v>272</v>
      </c>
      <c r="D127" s="18" t="s">
        <v>273</v>
      </c>
      <c r="E127" s="19"/>
      <c r="F127" s="19"/>
      <c r="G127" s="19"/>
      <c r="H127" s="19"/>
      <c r="I127" s="19"/>
      <c r="J127" s="19"/>
      <c r="K127" s="19"/>
      <c r="L127" s="19"/>
      <c r="M127" s="19"/>
      <c r="N127" s="19"/>
      <c r="O127" s="19"/>
      <c r="P127" s="19"/>
      <c r="Q127" s="19"/>
      <c r="R127" s="19"/>
      <c r="S127" s="19"/>
      <c r="T127" s="19"/>
      <c r="U127" s="19"/>
      <c r="V127" s="19"/>
      <c r="W127" s="19"/>
      <c r="X127" s="19"/>
      <c r="Y127" s="19"/>
      <c r="Z127" s="19"/>
      <c r="AA127" s="19"/>
      <c r="AB127" s="19"/>
      <c r="AC127" s="19"/>
      <c r="AD127" s="19"/>
      <c r="AE127" s="19"/>
      <c r="AF127" s="19"/>
      <c r="AG127" s="19"/>
      <c r="AH127" s="19"/>
      <c r="AI127" s="19"/>
    </row>
    <row r="128" spans="1:35" x14ac:dyDescent="0.3">
      <c r="A128" s="2" t="s">
        <v>265</v>
      </c>
      <c r="B128" s="2" t="s">
        <v>265</v>
      </c>
      <c r="C128" s="16" t="s">
        <v>274</v>
      </c>
      <c r="D128" s="18" t="s">
        <v>275</v>
      </c>
      <c r="E128" s="19"/>
      <c r="F128" s="19"/>
      <c r="G128" s="19"/>
      <c r="H128" s="19"/>
      <c r="I128" s="19"/>
      <c r="J128" s="19"/>
      <c r="K128" s="19"/>
      <c r="L128" s="19"/>
      <c r="M128" s="19"/>
      <c r="N128" s="19"/>
      <c r="O128" s="19"/>
      <c r="P128" s="19"/>
      <c r="Q128" s="19"/>
      <c r="R128" s="19"/>
      <c r="S128" s="19"/>
      <c r="T128" s="19"/>
      <c r="U128" s="19"/>
      <c r="V128" s="19"/>
      <c r="W128" s="19"/>
      <c r="X128" s="19"/>
      <c r="Y128" s="19"/>
      <c r="Z128" s="19"/>
      <c r="AA128" s="19"/>
      <c r="AB128" s="19"/>
      <c r="AC128" s="19"/>
      <c r="AD128" s="19"/>
      <c r="AE128" s="19"/>
      <c r="AF128" s="19"/>
      <c r="AG128" s="19"/>
      <c r="AH128" s="19"/>
      <c r="AI128" s="19"/>
    </row>
    <row r="129" spans="1:35" x14ac:dyDescent="0.3">
      <c r="A129" s="2" t="s">
        <v>265</v>
      </c>
      <c r="B129" s="2" t="s">
        <v>265</v>
      </c>
      <c r="C129" s="16" t="s">
        <v>276</v>
      </c>
      <c r="D129" s="18" t="s">
        <v>277</v>
      </c>
      <c r="E129" s="19"/>
      <c r="F129" s="19"/>
      <c r="G129" s="19"/>
      <c r="H129" s="19"/>
      <c r="I129" s="19"/>
      <c r="J129" s="19"/>
      <c r="K129" s="19"/>
      <c r="L129" s="19"/>
      <c r="M129" s="19"/>
      <c r="N129" s="19"/>
      <c r="O129" s="19"/>
      <c r="P129" s="19"/>
      <c r="Q129" s="19"/>
      <c r="R129" s="19"/>
      <c r="S129" s="19"/>
      <c r="T129" s="19"/>
      <c r="U129" s="19"/>
      <c r="V129" s="19"/>
      <c r="W129" s="19"/>
      <c r="X129" s="19"/>
      <c r="Y129" s="19"/>
      <c r="Z129" s="19"/>
      <c r="AA129" s="19"/>
      <c r="AB129" s="19"/>
      <c r="AC129" s="19"/>
      <c r="AD129" s="19"/>
      <c r="AE129" s="19"/>
      <c r="AF129" s="19"/>
      <c r="AG129" s="19"/>
      <c r="AH129" s="19"/>
      <c r="AI129" s="19"/>
    </row>
    <row r="130" spans="1:35" x14ac:dyDescent="0.3">
      <c r="A130" s="2" t="s">
        <v>265</v>
      </c>
      <c r="B130" s="2" t="s">
        <v>265</v>
      </c>
      <c r="C130" s="16" t="s">
        <v>278</v>
      </c>
      <c r="D130" s="18" t="s">
        <v>279</v>
      </c>
      <c r="E130" s="19"/>
      <c r="F130" s="19"/>
      <c r="G130" s="19"/>
      <c r="H130" s="19"/>
      <c r="I130" s="19"/>
      <c r="J130" s="19"/>
      <c r="K130" s="19"/>
      <c r="L130" s="19"/>
      <c r="M130" s="19"/>
      <c r="N130" s="19"/>
      <c r="O130" s="19"/>
      <c r="P130" s="19"/>
      <c r="Q130" s="19"/>
      <c r="R130" s="19"/>
      <c r="S130" s="19"/>
      <c r="T130" s="19"/>
      <c r="U130" s="19"/>
      <c r="V130" s="19"/>
      <c r="W130" s="19"/>
      <c r="X130" s="19"/>
      <c r="Y130" s="19"/>
      <c r="Z130" s="19"/>
      <c r="AA130" s="19"/>
      <c r="AB130" s="19"/>
      <c r="AC130" s="19"/>
      <c r="AD130" s="19"/>
      <c r="AE130" s="19"/>
      <c r="AF130" s="19"/>
      <c r="AG130" s="19"/>
      <c r="AH130" s="19"/>
      <c r="AI130" s="19"/>
    </row>
    <row r="131" spans="1:35" x14ac:dyDescent="0.3">
      <c r="A131" s="2" t="s">
        <v>265</v>
      </c>
      <c r="B131" s="2" t="s">
        <v>265</v>
      </c>
      <c r="C131" s="16" t="s">
        <v>280</v>
      </c>
      <c r="D131" s="18" t="s">
        <v>281</v>
      </c>
      <c r="E131" s="19"/>
      <c r="F131" s="19"/>
      <c r="G131" s="19"/>
      <c r="H131" s="19"/>
      <c r="I131" s="19"/>
      <c r="J131" s="19"/>
      <c r="K131" s="19"/>
      <c r="L131" s="19"/>
      <c r="M131" s="19"/>
      <c r="N131" s="19"/>
      <c r="O131" s="19"/>
      <c r="P131" s="19"/>
      <c r="Q131" s="19"/>
      <c r="R131" s="19"/>
      <c r="S131" s="19"/>
      <c r="T131" s="19"/>
      <c r="U131" s="19"/>
      <c r="V131" s="19"/>
      <c r="W131" s="19"/>
      <c r="X131" s="19"/>
      <c r="Y131" s="19"/>
      <c r="Z131" s="19"/>
      <c r="AA131" s="19"/>
      <c r="AB131" s="19"/>
      <c r="AC131" s="19"/>
      <c r="AD131" s="19"/>
      <c r="AE131" s="19"/>
      <c r="AF131" s="19"/>
      <c r="AG131" s="19"/>
      <c r="AH131" s="19"/>
      <c r="AI131" s="19"/>
    </row>
    <row r="132" spans="1:35" x14ac:dyDescent="0.3">
      <c r="A132" s="2" t="s">
        <v>282</v>
      </c>
      <c r="B132" s="2" t="s">
        <v>282</v>
      </c>
      <c r="C132" s="16" t="s">
        <v>283</v>
      </c>
      <c r="D132" s="18" t="s">
        <v>284</v>
      </c>
      <c r="E132" s="19"/>
      <c r="F132" s="19"/>
      <c r="G132" s="19"/>
      <c r="H132" s="19"/>
      <c r="I132" s="19"/>
      <c r="J132" s="19"/>
      <c r="K132" s="19"/>
      <c r="L132" s="19"/>
      <c r="M132" s="19"/>
      <c r="N132" s="19"/>
      <c r="O132" s="19"/>
      <c r="P132" s="19"/>
      <c r="Q132" s="19"/>
      <c r="R132" s="19"/>
      <c r="S132" s="19"/>
      <c r="T132" s="19"/>
      <c r="U132" s="19"/>
      <c r="V132" s="19"/>
      <c r="W132" s="19"/>
      <c r="X132" s="19"/>
      <c r="Y132" s="19"/>
      <c r="Z132" s="19"/>
      <c r="AA132" s="19"/>
      <c r="AB132" s="19"/>
      <c r="AC132" s="19"/>
      <c r="AD132" s="19"/>
      <c r="AE132" s="19"/>
      <c r="AF132" s="19"/>
      <c r="AG132" s="19"/>
      <c r="AH132" s="19"/>
      <c r="AI132" s="19"/>
    </row>
    <row r="133" spans="1:35" x14ac:dyDescent="0.3">
      <c r="A133" s="2" t="s">
        <v>282</v>
      </c>
      <c r="B133" s="2" t="s">
        <v>282</v>
      </c>
      <c r="C133" s="16" t="s">
        <v>285</v>
      </c>
      <c r="D133" s="18" t="s">
        <v>286</v>
      </c>
      <c r="E133" s="19"/>
      <c r="F133" s="19"/>
      <c r="G133" s="19"/>
      <c r="H133" s="19"/>
      <c r="I133" s="19"/>
      <c r="J133" s="19"/>
      <c r="K133" s="19"/>
      <c r="L133" s="19"/>
      <c r="M133" s="19"/>
      <c r="N133" s="19"/>
      <c r="O133" s="19"/>
      <c r="P133" s="19"/>
      <c r="Q133" s="19"/>
      <c r="R133" s="19"/>
      <c r="S133" s="19"/>
      <c r="T133" s="19"/>
      <c r="U133" s="19"/>
      <c r="V133" s="19"/>
      <c r="W133" s="19"/>
      <c r="X133" s="19"/>
      <c r="Y133" s="19"/>
      <c r="Z133" s="19"/>
      <c r="AA133" s="19"/>
      <c r="AB133" s="19"/>
      <c r="AC133" s="19"/>
      <c r="AD133" s="19"/>
      <c r="AE133" s="19"/>
      <c r="AF133" s="19"/>
      <c r="AG133" s="19"/>
      <c r="AH133" s="19"/>
      <c r="AI133" s="19"/>
    </row>
    <row r="134" spans="1:35" x14ac:dyDescent="0.3">
      <c r="A134" s="2" t="s">
        <v>282</v>
      </c>
      <c r="B134" s="2" t="s">
        <v>282</v>
      </c>
      <c r="C134" s="16" t="s">
        <v>287</v>
      </c>
      <c r="D134" s="18" t="s">
        <v>288</v>
      </c>
      <c r="E134" s="19"/>
      <c r="F134" s="19"/>
      <c r="G134" s="19"/>
      <c r="H134" s="19"/>
      <c r="I134" s="19"/>
      <c r="J134" s="19"/>
      <c r="K134" s="19"/>
      <c r="L134" s="19"/>
      <c r="M134" s="19"/>
      <c r="N134" s="19"/>
      <c r="O134" s="19"/>
      <c r="P134" s="19"/>
      <c r="Q134" s="19"/>
      <c r="R134" s="19"/>
      <c r="S134" s="19"/>
      <c r="T134" s="19"/>
      <c r="U134" s="19"/>
      <c r="V134" s="19"/>
      <c r="W134" s="19"/>
      <c r="X134" s="19"/>
      <c r="Y134" s="19"/>
      <c r="Z134" s="19"/>
      <c r="AA134" s="19"/>
      <c r="AB134" s="19"/>
      <c r="AC134" s="19"/>
      <c r="AD134" s="19"/>
      <c r="AE134" s="19"/>
      <c r="AF134" s="19"/>
      <c r="AG134" s="19"/>
      <c r="AH134" s="19"/>
      <c r="AI134" s="19"/>
    </row>
    <row r="135" spans="1:35" x14ac:dyDescent="0.3">
      <c r="A135" s="2" t="s">
        <v>282</v>
      </c>
      <c r="B135" s="2" t="s">
        <v>282</v>
      </c>
      <c r="C135" s="16" t="s">
        <v>289</v>
      </c>
      <c r="D135" s="18" t="s">
        <v>290</v>
      </c>
      <c r="E135" s="19"/>
      <c r="F135" s="19"/>
      <c r="G135" s="19"/>
      <c r="H135" s="19"/>
      <c r="I135" s="19"/>
      <c r="J135" s="19"/>
      <c r="K135" s="19"/>
      <c r="L135" s="19"/>
      <c r="M135" s="19"/>
      <c r="N135" s="19"/>
      <c r="O135" s="19"/>
      <c r="P135" s="19"/>
      <c r="Q135" s="19"/>
      <c r="R135" s="19"/>
      <c r="S135" s="19"/>
      <c r="T135" s="19"/>
      <c r="U135" s="19"/>
      <c r="V135" s="19"/>
      <c r="W135" s="19"/>
      <c r="X135" s="19"/>
      <c r="Y135" s="19"/>
      <c r="Z135" s="19"/>
      <c r="AA135" s="19"/>
      <c r="AB135" s="19"/>
      <c r="AC135" s="19"/>
      <c r="AD135" s="19"/>
      <c r="AE135" s="19"/>
      <c r="AF135" s="19"/>
      <c r="AG135" s="19"/>
      <c r="AH135" s="19"/>
      <c r="AI135" s="19"/>
    </row>
    <row r="136" spans="1:35" x14ac:dyDescent="0.3">
      <c r="A136" s="2" t="s">
        <v>282</v>
      </c>
      <c r="B136" s="2" t="s">
        <v>282</v>
      </c>
      <c r="C136" s="16" t="s">
        <v>291</v>
      </c>
      <c r="D136" s="18" t="s">
        <v>292</v>
      </c>
      <c r="E136" s="19"/>
      <c r="F136" s="19"/>
      <c r="G136" s="19"/>
      <c r="H136" s="19"/>
      <c r="I136" s="19"/>
      <c r="J136" s="19"/>
      <c r="K136" s="19"/>
      <c r="L136" s="19"/>
      <c r="M136" s="19"/>
      <c r="N136" s="19"/>
      <c r="O136" s="19"/>
      <c r="P136" s="19"/>
      <c r="Q136" s="19"/>
      <c r="R136" s="19"/>
      <c r="S136" s="19"/>
      <c r="T136" s="19"/>
      <c r="U136" s="19"/>
      <c r="V136" s="19"/>
      <c r="W136" s="19"/>
      <c r="X136" s="19"/>
      <c r="Y136" s="19"/>
      <c r="Z136" s="19"/>
      <c r="AA136" s="19"/>
      <c r="AB136" s="19"/>
      <c r="AC136" s="19"/>
      <c r="AD136" s="19"/>
      <c r="AE136" s="19"/>
      <c r="AF136" s="19"/>
      <c r="AG136" s="19"/>
      <c r="AH136" s="19"/>
      <c r="AI136" s="19"/>
    </row>
    <row r="137" spans="1:35" x14ac:dyDescent="0.3">
      <c r="A137" s="2" t="s">
        <v>282</v>
      </c>
      <c r="B137" s="2" t="s">
        <v>282</v>
      </c>
      <c r="C137" s="16" t="s">
        <v>293</v>
      </c>
      <c r="D137" s="18" t="s">
        <v>294</v>
      </c>
      <c r="E137" s="19"/>
      <c r="F137" s="19"/>
      <c r="G137" s="19"/>
      <c r="H137" s="19"/>
      <c r="I137" s="19"/>
      <c r="J137" s="19"/>
      <c r="K137" s="19"/>
      <c r="L137" s="19"/>
      <c r="M137" s="19"/>
      <c r="N137" s="19"/>
      <c r="O137" s="19"/>
      <c r="P137" s="19"/>
      <c r="Q137" s="19"/>
      <c r="R137" s="19"/>
      <c r="S137" s="19"/>
      <c r="T137" s="19"/>
      <c r="U137" s="19"/>
      <c r="V137" s="19"/>
      <c r="W137" s="19"/>
      <c r="X137" s="19"/>
      <c r="Y137" s="19"/>
      <c r="Z137" s="19"/>
      <c r="AA137" s="19"/>
      <c r="AB137" s="19"/>
      <c r="AC137" s="19"/>
      <c r="AD137" s="19"/>
      <c r="AE137" s="19"/>
      <c r="AF137" s="19"/>
      <c r="AG137" s="19"/>
      <c r="AH137" s="19"/>
      <c r="AI137" s="19"/>
    </row>
    <row r="138" spans="1:35" x14ac:dyDescent="0.3">
      <c r="A138" s="2" t="s">
        <v>282</v>
      </c>
      <c r="B138" s="2" t="s">
        <v>282</v>
      </c>
      <c r="C138" s="16" t="s">
        <v>295</v>
      </c>
      <c r="D138" s="18" t="s">
        <v>296</v>
      </c>
      <c r="E138" s="19"/>
      <c r="F138" s="19"/>
      <c r="G138" s="19"/>
      <c r="H138" s="19"/>
      <c r="I138" s="19"/>
      <c r="J138" s="19"/>
      <c r="K138" s="19"/>
      <c r="L138" s="19"/>
      <c r="M138" s="19"/>
      <c r="N138" s="19"/>
      <c r="O138" s="19"/>
      <c r="P138" s="19"/>
      <c r="Q138" s="19"/>
      <c r="R138" s="19"/>
      <c r="S138" s="19"/>
      <c r="T138" s="19"/>
      <c r="U138" s="19"/>
      <c r="V138" s="19"/>
      <c r="W138" s="19"/>
      <c r="X138" s="19"/>
      <c r="Y138" s="19"/>
      <c r="Z138" s="19"/>
      <c r="AA138" s="19"/>
      <c r="AB138" s="19"/>
      <c r="AC138" s="19"/>
      <c r="AD138" s="19"/>
      <c r="AE138" s="19"/>
      <c r="AF138" s="19"/>
      <c r="AG138" s="19"/>
      <c r="AH138" s="19"/>
      <c r="AI138" s="19"/>
    </row>
    <row r="139" spans="1:35" x14ac:dyDescent="0.3">
      <c r="A139" s="2" t="s">
        <v>282</v>
      </c>
      <c r="B139" s="2" t="s">
        <v>282</v>
      </c>
      <c r="C139" s="16" t="s">
        <v>297</v>
      </c>
      <c r="D139" s="18" t="s">
        <v>298</v>
      </c>
      <c r="E139" s="19"/>
      <c r="F139" s="19"/>
      <c r="G139" s="19"/>
      <c r="H139" s="19"/>
      <c r="I139" s="19"/>
      <c r="J139" s="19"/>
      <c r="K139" s="19"/>
      <c r="L139" s="19"/>
      <c r="M139" s="19"/>
      <c r="N139" s="19"/>
      <c r="O139" s="19"/>
      <c r="P139" s="19"/>
      <c r="Q139" s="19"/>
      <c r="R139" s="19"/>
      <c r="S139" s="19"/>
      <c r="T139" s="19"/>
      <c r="U139" s="19"/>
      <c r="V139" s="19"/>
      <c r="W139" s="19"/>
      <c r="X139" s="19"/>
      <c r="Y139" s="19"/>
      <c r="Z139" s="19"/>
      <c r="AA139" s="19"/>
      <c r="AB139" s="19"/>
      <c r="AC139" s="19"/>
      <c r="AD139" s="19"/>
      <c r="AE139" s="19"/>
      <c r="AF139" s="19"/>
      <c r="AG139" s="19"/>
      <c r="AH139" s="19"/>
      <c r="AI139" s="19"/>
    </row>
    <row r="140" spans="1:35" x14ac:dyDescent="0.3">
      <c r="A140" s="2" t="s">
        <v>299</v>
      </c>
      <c r="B140" s="2" t="s">
        <v>299</v>
      </c>
      <c r="C140" s="16" t="s">
        <v>300</v>
      </c>
      <c r="D140" s="18" t="s">
        <v>301</v>
      </c>
      <c r="E140" s="19"/>
      <c r="F140" s="19"/>
      <c r="G140" s="19"/>
      <c r="H140" s="19"/>
      <c r="I140" s="19"/>
      <c r="J140" s="19"/>
      <c r="K140" s="19"/>
      <c r="L140" s="19"/>
      <c r="M140" s="19"/>
      <c r="N140" s="19"/>
      <c r="O140" s="19"/>
      <c r="P140" s="19"/>
      <c r="Q140" s="19"/>
      <c r="R140" s="19"/>
      <c r="S140" s="19"/>
      <c r="T140" s="19"/>
      <c r="U140" s="19"/>
      <c r="V140" s="19"/>
      <c r="W140" s="19"/>
      <c r="X140" s="19"/>
      <c r="Y140" s="19"/>
      <c r="Z140" s="19"/>
      <c r="AA140" s="19"/>
      <c r="AB140" s="19"/>
      <c r="AC140" s="19"/>
      <c r="AD140" s="19"/>
      <c r="AE140" s="19"/>
      <c r="AF140" s="19"/>
      <c r="AG140" s="19"/>
      <c r="AH140" s="19"/>
      <c r="AI140" s="19"/>
    </row>
    <row r="141" spans="1:35" x14ac:dyDescent="0.3">
      <c r="A141" s="2" t="s">
        <v>299</v>
      </c>
      <c r="B141" s="2" t="s">
        <v>299</v>
      </c>
      <c r="C141" s="16" t="s">
        <v>302</v>
      </c>
      <c r="D141" s="18" t="s">
        <v>303</v>
      </c>
      <c r="E141" s="19"/>
      <c r="F141" s="19"/>
      <c r="G141" s="19"/>
      <c r="H141" s="19"/>
      <c r="I141" s="19"/>
      <c r="J141" s="19"/>
      <c r="K141" s="19"/>
      <c r="L141" s="19"/>
      <c r="M141" s="19"/>
      <c r="N141" s="19"/>
      <c r="O141" s="19"/>
      <c r="P141" s="19"/>
      <c r="Q141" s="19"/>
      <c r="R141" s="19"/>
      <c r="S141" s="19"/>
      <c r="T141" s="19"/>
      <c r="U141" s="19"/>
      <c r="V141" s="19"/>
      <c r="W141" s="19"/>
      <c r="X141" s="19"/>
      <c r="Y141" s="19"/>
      <c r="Z141" s="19"/>
      <c r="AA141" s="19"/>
      <c r="AB141" s="19"/>
      <c r="AC141" s="19"/>
      <c r="AD141" s="19"/>
      <c r="AE141" s="19"/>
      <c r="AF141" s="19"/>
      <c r="AG141" s="19"/>
      <c r="AH141" s="19"/>
      <c r="AI141" s="19"/>
    </row>
    <row r="142" spans="1:35" x14ac:dyDescent="0.3">
      <c r="A142" s="2" t="s">
        <v>299</v>
      </c>
      <c r="B142" s="2" t="s">
        <v>299</v>
      </c>
      <c r="C142" s="16" t="s">
        <v>304</v>
      </c>
      <c r="D142" s="18" t="s">
        <v>305</v>
      </c>
      <c r="E142" s="19"/>
      <c r="F142" s="19"/>
      <c r="G142" s="19"/>
      <c r="H142" s="19"/>
      <c r="I142" s="19"/>
      <c r="J142" s="19"/>
      <c r="K142" s="19"/>
      <c r="L142" s="19"/>
      <c r="M142" s="19"/>
      <c r="N142" s="19"/>
      <c r="O142" s="19"/>
      <c r="P142" s="19"/>
      <c r="Q142" s="19"/>
      <c r="R142" s="19"/>
      <c r="S142" s="19"/>
      <c r="T142" s="19"/>
      <c r="U142" s="19"/>
      <c r="V142" s="19"/>
      <c r="W142" s="19"/>
      <c r="X142" s="19"/>
      <c r="Y142" s="19"/>
      <c r="Z142" s="19"/>
      <c r="AA142" s="19"/>
      <c r="AB142" s="19"/>
      <c r="AC142" s="19"/>
      <c r="AD142" s="19"/>
      <c r="AE142" s="19"/>
      <c r="AF142" s="19"/>
      <c r="AG142" s="19"/>
      <c r="AH142" s="19"/>
      <c r="AI142" s="19"/>
    </row>
    <row r="143" spans="1:35" x14ac:dyDescent="0.3">
      <c r="A143" s="2" t="s">
        <v>299</v>
      </c>
      <c r="B143" s="2" t="s">
        <v>299</v>
      </c>
      <c r="C143" s="16" t="s">
        <v>306</v>
      </c>
      <c r="D143" s="18" t="s">
        <v>307</v>
      </c>
      <c r="E143" s="19"/>
      <c r="F143" s="19"/>
      <c r="G143" s="19"/>
      <c r="H143" s="19"/>
      <c r="I143" s="19"/>
      <c r="J143" s="19"/>
      <c r="K143" s="19"/>
      <c r="L143" s="19"/>
      <c r="M143" s="19"/>
      <c r="N143" s="19"/>
      <c r="O143" s="19"/>
      <c r="P143" s="19"/>
      <c r="Q143" s="19"/>
      <c r="R143" s="19"/>
      <c r="S143" s="19"/>
      <c r="T143" s="19"/>
      <c r="U143" s="19"/>
      <c r="V143" s="19"/>
      <c r="W143" s="19"/>
      <c r="X143" s="19"/>
      <c r="Y143" s="19"/>
      <c r="Z143" s="19"/>
      <c r="AA143" s="19"/>
      <c r="AB143" s="19"/>
      <c r="AC143" s="19"/>
      <c r="AD143" s="19"/>
      <c r="AE143" s="19"/>
      <c r="AF143" s="19"/>
      <c r="AG143" s="19"/>
      <c r="AH143" s="19"/>
      <c r="AI143" s="19"/>
    </row>
    <row r="144" spans="1:35" x14ac:dyDescent="0.3">
      <c r="A144" s="2" t="s">
        <v>299</v>
      </c>
      <c r="B144" s="2" t="s">
        <v>299</v>
      </c>
      <c r="C144" s="16" t="s">
        <v>308</v>
      </c>
      <c r="D144" s="18" t="s">
        <v>309</v>
      </c>
      <c r="E144" s="19"/>
      <c r="F144" s="19"/>
      <c r="G144" s="19"/>
      <c r="H144" s="19"/>
      <c r="I144" s="19"/>
      <c r="J144" s="19"/>
      <c r="K144" s="19"/>
      <c r="L144" s="19"/>
      <c r="M144" s="19"/>
      <c r="N144" s="19"/>
      <c r="O144" s="19"/>
      <c r="P144" s="19"/>
      <c r="Q144" s="19"/>
      <c r="R144" s="19"/>
      <c r="S144" s="19"/>
      <c r="T144" s="19"/>
      <c r="U144" s="19"/>
      <c r="V144" s="19"/>
      <c r="W144" s="19"/>
      <c r="X144" s="19"/>
      <c r="Y144" s="19"/>
      <c r="Z144" s="19"/>
      <c r="AA144" s="19"/>
      <c r="AB144" s="19"/>
      <c r="AC144" s="19"/>
      <c r="AD144" s="19"/>
      <c r="AE144" s="19"/>
      <c r="AF144" s="19"/>
      <c r="AG144" s="19"/>
      <c r="AH144" s="19"/>
      <c r="AI144" s="19"/>
    </row>
    <row r="145" spans="1:35" x14ac:dyDescent="0.3">
      <c r="A145" s="2" t="s">
        <v>299</v>
      </c>
      <c r="B145" s="2" t="s">
        <v>299</v>
      </c>
      <c r="C145" s="16" t="s">
        <v>310</v>
      </c>
      <c r="D145" s="18" t="s">
        <v>311</v>
      </c>
      <c r="E145" s="19"/>
      <c r="F145" s="19"/>
      <c r="G145" s="19"/>
      <c r="H145" s="19"/>
      <c r="I145" s="19"/>
      <c r="J145" s="19"/>
      <c r="K145" s="19"/>
      <c r="L145" s="19"/>
      <c r="M145" s="19"/>
      <c r="N145" s="19"/>
      <c r="O145" s="19"/>
      <c r="P145" s="19"/>
      <c r="Q145" s="19"/>
      <c r="R145" s="19"/>
      <c r="S145" s="19"/>
      <c r="T145" s="19"/>
      <c r="U145" s="19"/>
      <c r="V145" s="19"/>
      <c r="W145" s="19"/>
      <c r="X145" s="19"/>
      <c r="Y145" s="19"/>
      <c r="Z145" s="19"/>
      <c r="AA145" s="19"/>
      <c r="AB145" s="19"/>
      <c r="AC145" s="19"/>
      <c r="AD145" s="19"/>
      <c r="AE145" s="19"/>
      <c r="AF145" s="19"/>
      <c r="AG145" s="19"/>
      <c r="AH145" s="19"/>
      <c r="AI145" s="19"/>
    </row>
    <row r="146" spans="1:35" x14ac:dyDescent="0.3">
      <c r="A146" s="2" t="s">
        <v>299</v>
      </c>
      <c r="B146" s="2" t="s">
        <v>299</v>
      </c>
      <c r="C146" s="16" t="s">
        <v>312</v>
      </c>
      <c r="D146" s="18" t="s">
        <v>313</v>
      </c>
      <c r="E146" s="19"/>
      <c r="F146" s="19"/>
      <c r="G146" s="19"/>
      <c r="H146" s="19"/>
      <c r="I146" s="19"/>
      <c r="J146" s="19"/>
      <c r="K146" s="19"/>
      <c r="L146" s="19"/>
      <c r="M146" s="19"/>
      <c r="N146" s="19"/>
      <c r="O146" s="19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</row>
    <row r="147" spans="1:35" x14ac:dyDescent="0.3">
      <c r="A147" s="2" t="s">
        <v>314</v>
      </c>
      <c r="B147" s="2" t="s">
        <v>314</v>
      </c>
      <c r="C147" s="16" t="s">
        <v>315</v>
      </c>
      <c r="D147" s="18" t="s">
        <v>316</v>
      </c>
      <c r="E147" s="19"/>
      <c r="F147" s="19"/>
      <c r="G147" s="19"/>
      <c r="H147" s="19"/>
      <c r="I147" s="19"/>
      <c r="J147" s="19"/>
      <c r="K147" s="19"/>
      <c r="L147" s="19"/>
      <c r="M147" s="19"/>
      <c r="N147" s="19"/>
      <c r="O147" s="19"/>
      <c r="P147" s="19"/>
      <c r="Q147" s="19"/>
      <c r="R147" s="19"/>
      <c r="S147" s="19"/>
      <c r="T147" s="19"/>
      <c r="U147" s="19"/>
      <c r="V147" s="19"/>
      <c r="W147" s="19"/>
      <c r="X147" s="19"/>
      <c r="Y147" s="19"/>
      <c r="Z147" s="19"/>
      <c r="AA147" s="19"/>
      <c r="AB147" s="19"/>
      <c r="AC147" s="19"/>
      <c r="AD147" s="19"/>
      <c r="AE147" s="19"/>
      <c r="AF147" s="19"/>
      <c r="AG147" s="19"/>
      <c r="AH147" s="19"/>
      <c r="AI147" s="19"/>
    </row>
    <row r="148" spans="1:35" x14ac:dyDescent="0.3">
      <c r="A148" s="2" t="s">
        <v>314</v>
      </c>
      <c r="B148" s="2" t="s">
        <v>314</v>
      </c>
      <c r="C148" s="16" t="s">
        <v>317</v>
      </c>
      <c r="D148" s="18" t="s">
        <v>318</v>
      </c>
      <c r="E148" s="19"/>
      <c r="F148" s="19"/>
      <c r="G148" s="19"/>
      <c r="H148" s="19"/>
      <c r="I148" s="19"/>
      <c r="J148" s="19"/>
      <c r="K148" s="19"/>
      <c r="L148" s="19"/>
      <c r="M148" s="19"/>
      <c r="N148" s="19"/>
      <c r="O148" s="19"/>
      <c r="P148" s="19"/>
      <c r="Q148" s="19"/>
      <c r="R148" s="19"/>
      <c r="S148" s="19"/>
      <c r="T148" s="19"/>
      <c r="U148" s="19"/>
      <c r="V148" s="19"/>
      <c r="W148" s="19"/>
      <c r="X148" s="19"/>
      <c r="Y148" s="19"/>
      <c r="Z148" s="19"/>
      <c r="AA148" s="19"/>
      <c r="AB148" s="19"/>
      <c r="AC148" s="19"/>
      <c r="AD148" s="19"/>
      <c r="AE148" s="19"/>
      <c r="AF148" s="19"/>
      <c r="AG148" s="19"/>
      <c r="AH148" s="19"/>
      <c r="AI148" s="19"/>
    </row>
    <row r="149" spans="1:35" x14ac:dyDescent="0.3">
      <c r="A149" s="2" t="s">
        <v>314</v>
      </c>
      <c r="B149" s="2" t="s">
        <v>314</v>
      </c>
      <c r="C149" s="16" t="s">
        <v>319</v>
      </c>
      <c r="D149" s="18" t="s">
        <v>320</v>
      </c>
      <c r="E149" s="19"/>
      <c r="F149" s="19"/>
      <c r="G149" s="19"/>
      <c r="H149" s="19"/>
      <c r="I149" s="19"/>
      <c r="J149" s="19"/>
      <c r="K149" s="19"/>
      <c r="L149" s="19"/>
      <c r="M149" s="19"/>
      <c r="N149" s="19"/>
      <c r="O149" s="19"/>
      <c r="P149" s="19"/>
      <c r="Q149" s="19"/>
      <c r="R149" s="19"/>
      <c r="S149" s="19"/>
      <c r="T149" s="19"/>
      <c r="U149" s="19"/>
      <c r="V149" s="19"/>
      <c r="W149" s="19"/>
      <c r="X149" s="19"/>
      <c r="Y149" s="19"/>
      <c r="Z149" s="19"/>
      <c r="AA149" s="19"/>
      <c r="AB149" s="19"/>
      <c r="AC149" s="19"/>
      <c r="AD149" s="19"/>
      <c r="AE149" s="19"/>
      <c r="AF149" s="19"/>
      <c r="AG149" s="19"/>
      <c r="AH149" s="19"/>
      <c r="AI149" s="19"/>
    </row>
    <row r="150" spans="1:35" x14ac:dyDescent="0.3">
      <c r="A150" s="2" t="s">
        <v>314</v>
      </c>
      <c r="B150" s="2" t="s">
        <v>314</v>
      </c>
      <c r="C150" s="16" t="s">
        <v>321</v>
      </c>
      <c r="D150" s="18" t="s">
        <v>322</v>
      </c>
      <c r="E150" s="19"/>
      <c r="F150" s="19"/>
      <c r="G150" s="19"/>
      <c r="H150" s="19"/>
      <c r="I150" s="19"/>
      <c r="J150" s="19"/>
      <c r="K150" s="19"/>
      <c r="L150" s="19"/>
      <c r="M150" s="19"/>
      <c r="N150" s="19"/>
      <c r="O150" s="19"/>
      <c r="P150" s="19"/>
      <c r="Q150" s="19"/>
      <c r="R150" s="19"/>
      <c r="S150" s="19"/>
      <c r="T150" s="19"/>
      <c r="U150" s="19"/>
      <c r="V150" s="19"/>
      <c r="W150" s="19"/>
      <c r="X150" s="19"/>
      <c r="Y150" s="19"/>
      <c r="Z150" s="19"/>
      <c r="AA150" s="19"/>
      <c r="AB150" s="19"/>
      <c r="AC150" s="19"/>
      <c r="AD150" s="19"/>
      <c r="AE150" s="19"/>
      <c r="AF150" s="19"/>
      <c r="AG150" s="19"/>
      <c r="AH150" s="19"/>
      <c r="AI150" s="19"/>
    </row>
    <row r="151" spans="1:35" x14ac:dyDescent="0.3">
      <c r="A151" s="2" t="s">
        <v>314</v>
      </c>
      <c r="B151" s="2" t="s">
        <v>314</v>
      </c>
      <c r="C151" s="16" t="s">
        <v>323</v>
      </c>
      <c r="D151" s="18" t="s">
        <v>324</v>
      </c>
      <c r="E151" s="19"/>
      <c r="F151" s="19"/>
      <c r="G151" s="19"/>
      <c r="H151" s="19"/>
      <c r="I151" s="19"/>
      <c r="J151" s="19"/>
      <c r="K151" s="19"/>
      <c r="L151" s="19"/>
      <c r="M151" s="19"/>
      <c r="N151" s="19"/>
      <c r="O151" s="19"/>
      <c r="P151" s="19"/>
      <c r="Q151" s="19"/>
      <c r="R151" s="19"/>
      <c r="S151" s="19"/>
      <c r="T151" s="19"/>
      <c r="U151" s="19"/>
      <c r="V151" s="19"/>
      <c r="W151" s="19"/>
      <c r="X151" s="19"/>
      <c r="Y151" s="19"/>
      <c r="Z151" s="19"/>
      <c r="AA151" s="19"/>
      <c r="AB151" s="19"/>
      <c r="AC151" s="19"/>
      <c r="AD151" s="19"/>
      <c r="AE151" s="19"/>
      <c r="AF151" s="19"/>
      <c r="AG151" s="19"/>
      <c r="AH151" s="19"/>
      <c r="AI151" s="19"/>
    </row>
    <row r="152" spans="1:35" x14ac:dyDescent="0.3">
      <c r="A152" s="2" t="s">
        <v>314</v>
      </c>
      <c r="B152" s="2" t="s">
        <v>314</v>
      </c>
      <c r="C152" s="16" t="s">
        <v>325</v>
      </c>
      <c r="D152" s="18" t="s">
        <v>326</v>
      </c>
      <c r="E152" s="19"/>
      <c r="F152" s="19"/>
      <c r="G152" s="19"/>
      <c r="H152" s="19"/>
      <c r="I152" s="19"/>
      <c r="J152" s="19"/>
      <c r="K152" s="19"/>
      <c r="L152" s="19"/>
      <c r="M152" s="19"/>
      <c r="N152" s="19"/>
      <c r="O152" s="19"/>
      <c r="P152" s="19"/>
      <c r="Q152" s="19"/>
      <c r="R152" s="19"/>
      <c r="S152" s="19"/>
      <c r="T152" s="19"/>
      <c r="U152" s="19"/>
      <c r="V152" s="19"/>
      <c r="W152" s="19"/>
      <c r="X152" s="19"/>
      <c r="Y152" s="19"/>
      <c r="Z152" s="19"/>
      <c r="AA152" s="19"/>
      <c r="AB152" s="19"/>
      <c r="AC152" s="19"/>
      <c r="AD152" s="19"/>
      <c r="AE152" s="19"/>
      <c r="AF152" s="19"/>
      <c r="AG152" s="19"/>
      <c r="AH152" s="19"/>
      <c r="AI152" s="19"/>
    </row>
    <row r="153" spans="1:35" x14ac:dyDescent="0.3">
      <c r="A153" s="2" t="s">
        <v>314</v>
      </c>
      <c r="B153" s="2" t="s">
        <v>314</v>
      </c>
      <c r="C153" s="16" t="s">
        <v>327</v>
      </c>
      <c r="D153" s="18" t="s">
        <v>328</v>
      </c>
      <c r="E153" s="19"/>
      <c r="F153" s="19"/>
      <c r="G153" s="19"/>
      <c r="H153" s="19"/>
      <c r="I153" s="19"/>
      <c r="J153" s="19"/>
      <c r="K153" s="19"/>
      <c r="L153" s="19"/>
      <c r="M153" s="19"/>
      <c r="N153" s="19"/>
      <c r="O153" s="19"/>
      <c r="P153" s="19"/>
      <c r="Q153" s="19"/>
      <c r="R153" s="19"/>
      <c r="S153" s="19"/>
      <c r="T153" s="19"/>
      <c r="U153" s="19"/>
      <c r="V153" s="19"/>
      <c r="W153" s="19"/>
      <c r="X153" s="19"/>
      <c r="Y153" s="19"/>
      <c r="Z153" s="19"/>
      <c r="AA153" s="19"/>
      <c r="AB153" s="19"/>
      <c r="AC153" s="19"/>
      <c r="AD153" s="19"/>
      <c r="AE153" s="19"/>
      <c r="AF153" s="19"/>
      <c r="AG153" s="19"/>
      <c r="AH153" s="19"/>
      <c r="AI153" s="19"/>
    </row>
    <row r="154" spans="1:35" x14ac:dyDescent="0.3">
      <c r="A154" s="2" t="s">
        <v>314</v>
      </c>
      <c r="B154" s="2" t="s">
        <v>314</v>
      </c>
      <c r="C154" s="16" t="s">
        <v>329</v>
      </c>
      <c r="D154" s="18" t="s">
        <v>330</v>
      </c>
      <c r="E154" s="19"/>
      <c r="F154" s="19"/>
      <c r="G154" s="19"/>
      <c r="H154" s="19"/>
      <c r="I154" s="19"/>
      <c r="J154" s="19"/>
      <c r="K154" s="19"/>
      <c r="L154" s="19"/>
      <c r="M154" s="19"/>
      <c r="N154" s="19"/>
      <c r="O154" s="19"/>
      <c r="P154" s="19"/>
      <c r="Q154" s="19"/>
      <c r="R154" s="19"/>
      <c r="S154" s="19"/>
      <c r="T154" s="19"/>
      <c r="U154" s="19"/>
      <c r="V154" s="19"/>
      <c r="W154" s="19"/>
      <c r="X154" s="19"/>
      <c r="Y154" s="19"/>
      <c r="Z154" s="19"/>
      <c r="AA154" s="19"/>
      <c r="AB154" s="19"/>
      <c r="AC154" s="19"/>
      <c r="AD154" s="19"/>
      <c r="AE154" s="19"/>
      <c r="AF154" s="19"/>
      <c r="AG154" s="19"/>
      <c r="AH154" s="19"/>
      <c r="AI154" s="19"/>
    </row>
    <row r="155" spans="1:35" x14ac:dyDescent="0.3">
      <c r="A155" s="2" t="s">
        <v>314</v>
      </c>
      <c r="B155" s="2" t="s">
        <v>314</v>
      </c>
      <c r="C155" s="16" t="s">
        <v>331</v>
      </c>
      <c r="D155" s="18" t="s">
        <v>332</v>
      </c>
      <c r="E155" s="19"/>
      <c r="F155" s="19"/>
      <c r="G155" s="19"/>
      <c r="H155" s="19"/>
      <c r="I155" s="19"/>
      <c r="J155" s="19"/>
      <c r="K155" s="19"/>
      <c r="L155" s="19"/>
      <c r="M155" s="19"/>
      <c r="N155" s="19"/>
      <c r="O155" s="19"/>
      <c r="P155" s="19"/>
      <c r="Q155" s="19"/>
      <c r="R155" s="19"/>
      <c r="S155" s="19"/>
      <c r="T155" s="19"/>
      <c r="U155" s="19"/>
      <c r="V155" s="19"/>
      <c r="W155" s="19"/>
      <c r="X155" s="19"/>
      <c r="Y155" s="19"/>
      <c r="Z155" s="19"/>
      <c r="AA155" s="19"/>
      <c r="AB155" s="19"/>
      <c r="AC155" s="19"/>
      <c r="AD155" s="19"/>
      <c r="AE155" s="19"/>
      <c r="AF155" s="19"/>
      <c r="AG155" s="19"/>
      <c r="AH155" s="19"/>
      <c r="AI155" s="19"/>
    </row>
    <row r="156" spans="1:35" x14ac:dyDescent="0.3">
      <c r="A156" s="2" t="s">
        <v>314</v>
      </c>
      <c r="B156" s="2" t="s">
        <v>314</v>
      </c>
      <c r="C156" s="16" t="s">
        <v>333</v>
      </c>
      <c r="D156" s="18" t="s">
        <v>334</v>
      </c>
      <c r="E156" s="19"/>
      <c r="F156" s="19"/>
      <c r="G156" s="19"/>
      <c r="H156" s="19"/>
      <c r="I156" s="19"/>
      <c r="J156" s="19"/>
      <c r="K156" s="19"/>
      <c r="L156" s="19"/>
      <c r="M156" s="19"/>
      <c r="N156" s="19"/>
      <c r="O156" s="19"/>
      <c r="P156" s="19"/>
      <c r="Q156" s="19"/>
      <c r="R156" s="19"/>
      <c r="S156" s="19"/>
      <c r="T156" s="19"/>
      <c r="U156" s="19"/>
      <c r="V156" s="19"/>
      <c r="W156" s="19"/>
      <c r="X156" s="19"/>
      <c r="Y156" s="19"/>
      <c r="Z156" s="19"/>
      <c r="AA156" s="19"/>
      <c r="AB156" s="19"/>
      <c r="AC156" s="19"/>
      <c r="AD156" s="19"/>
      <c r="AE156" s="19"/>
      <c r="AF156" s="19"/>
      <c r="AG156" s="19"/>
      <c r="AH156" s="19"/>
      <c r="AI156" s="19"/>
    </row>
    <row r="157" spans="1:35" x14ac:dyDescent="0.3">
      <c r="A157" s="2" t="s">
        <v>314</v>
      </c>
      <c r="B157" s="2" t="s">
        <v>314</v>
      </c>
      <c r="C157" s="16" t="s">
        <v>335</v>
      </c>
      <c r="D157" s="18" t="s">
        <v>336</v>
      </c>
      <c r="E157" s="19"/>
      <c r="F157" s="19"/>
      <c r="G157" s="19"/>
      <c r="H157" s="19"/>
      <c r="I157" s="19"/>
      <c r="J157" s="19"/>
      <c r="K157" s="19"/>
      <c r="L157" s="19"/>
      <c r="M157" s="19"/>
      <c r="N157" s="19"/>
      <c r="O157" s="19"/>
      <c r="P157" s="19"/>
      <c r="Q157" s="19"/>
      <c r="R157" s="19"/>
      <c r="S157" s="19"/>
      <c r="T157" s="19"/>
      <c r="U157" s="19"/>
      <c r="V157" s="19"/>
      <c r="W157" s="19"/>
      <c r="X157" s="19"/>
      <c r="Y157" s="19"/>
      <c r="Z157" s="19"/>
      <c r="AA157" s="19"/>
      <c r="AB157" s="19"/>
      <c r="AC157" s="19"/>
      <c r="AD157" s="19"/>
      <c r="AE157" s="19"/>
      <c r="AF157" s="19"/>
      <c r="AG157" s="19"/>
      <c r="AH157" s="19"/>
      <c r="AI157" s="19"/>
    </row>
    <row r="158" spans="1:35" x14ac:dyDescent="0.3">
      <c r="A158" s="2" t="s">
        <v>314</v>
      </c>
      <c r="B158" s="2" t="s">
        <v>314</v>
      </c>
      <c r="C158" s="16" t="s">
        <v>337</v>
      </c>
      <c r="D158" s="18" t="s">
        <v>338</v>
      </c>
      <c r="E158" s="19"/>
      <c r="F158" s="19"/>
      <c r="G158" s="19"/>
      <c r="H158" s="19"/>
      <c r="I158" s="19"/>
      <c r="J158" s="19"/>
      <c r="K158" s="19"/>
      <c r="L158" s="19"/>
      <c r="M158" s="19"/>
      <c r="N158" s="19"/>
      <c r="O158" s="19"/>
      <c r="P158" s="19"/>
      <c r="Q158" s="19"/>
      <c r="R158" s="19"/>
      <c r="S158" s="19"/>
      <c r="T158" s="19"/>
      <c r="U158" s="19"/>
      <c r="V158" s="19"/>
      <c r="W158" s="19"/>
      <c r="X158" s="19"/>
      <c r="Y158" s="19"/>
      <c r="Z158" s="19"/>
      <c r="AA158" s="19"/>
      <c r="AB158" s="19"/>
      <c r="AC158" s="19"/>
      <c r="AD158" s="19"/>
      <c r="AE158" s="19"/>
      <c r="AF158" s="19"/>
      <c r="AG158" s="19"/>
      <c r="AH158" s="19"/>
      <c r="AI158" s="19"/>
    </row>
    <row r="159" spans="1:35" x14ac:dyDescent="0.3">
      <c r="A159" s="2" t="s">
        <v>314</v>
      </c>
      <c r="B159" s="2" t="s">
        <v>314</v>
      </c>
      <c r="C159" s="16" t="s">
        <v>339</v>
      </c>
      <c r="D159" s="18" t="s">
        <v>340</v>
      </c>
      <c r="E159" s="19"/>
      <c r="F159" s="19"/>
      <c r="G159" s="19"/>
      <c r="H159" s="19"/>
      <c r="I159" s="19"/>
      <c r="J159" s="19"/>
      <c r="K159" s="19"/>
      <c r="L159" s="19"/>
      <c r="M159" s="19"/>
      <c r="N159" s="19"/>
      <c r="O159" s="19"/>
      <c r="P159" s="19"/>
      <c r="Q159" s="19"/>
      <c r="R159" s="19"/>
      <c r="S159" s="19"/>
      <c r="T159" s="19"/>
      <c r="U159" s="19"/>
      <c r="V159" s="19"/>
      <c r="W159" s="19"/>
      <c r="X159" s="19"/>
      <c r="Y159" s="19"/>
      <c r="Z159" s="19"/>
      <c r="AA159" s="19"/>
      <c r="AB159" s="19"/>
      <c r="AC159" s="19"/>
      <c r="AD159" s="19"/>
      <c r="AE159" s="19"/>
      <c r="AF159" s="19"/>
      <c r="AG159" s="19"/>
      <c r="AH159" s="19"/>
      <c r="AI159" s="19"/>
    </row>
    <row r="160" spans="1:35" x14ac:dyDescent="0.3">
      <c r="A160" s="2" t="s">
        <v>314</v>
      </c>
      <c r="B160" s="2" t="s">
        <v>314</v>
      </c>
      <c r="C160" s="16" t="s">
        <v>341</v>
      </c>
      <c r="D160" s="18" t="s">
        <v>342</v>
      </c>
      <c r="E160" s="19"/>
      <c r="F160" s="19"/>
      <c r="G160" s="19"/>
      <c r="H160" s="19"/>
      <c r="I160" s="19"/>
      <c r="J160" s="19"/>
      <c r="K160" s="19"/>
      <c r="L160" s="19"/>
      <c r="M160" s="19"/>
      <c r="N160" s="19"/>
      <c r="O160" s="19"/>
      <c r="P160" s="19"/>
      <c r="Q160" s="19"/>
      <c r="R160" s="19"/>
      <c r="S160" s="19"/>
      <c r="T160" s="19"/>
      <c r="U160" s="19"/>
      <c r="V160" s="19"/>
      <c r="W160" s="19"/>
      <c r="X160" s="19"/>
      <c r="Y160" s="19"/>
      <c r="Z160" s="19"/>
      <c r="AA160" s="19"/>
      <c r="AB160" s="19"/>
      <c r="AC160" s="19"/>
      <c r="AD160" s="19"/>
      <c r="AE160" s="19"/>
      <c r="AF160" s="19"/>
      <c r="AG160" s="19"/>
      <c r="AH160" s="19"/>
      <c r="AI160" s="19"/>
    </row>
    <row r="161" spans="1:35" x14ac:dyDescent="0.3">
      <c r="A161" s="2" t="s">
        <v>314</v>
      </c>
      <c r="B161" s="2" t="s">
        <v>314</v>
      </c>
      <c r="C161" s="16" t="s">
        <v>343</v>
      </c>
      <c r="D161" s="18" t="s">
        <v>344</v>
      </c>
      <c r="E161" s="19"/>
      <c r="F161" s="19"/>
      <c r="G161" s="19"/>
      <c r="H161" s="19"/>
      <c r="I161" s="19"/>
      <c r="J161" s="19"/>
      <c r="K161" s="19"/>
      <c r="L161" s="19"/>
      <c r="M161" s="19"/>
      <c r="N161" s="19"/>
      <c r="O161" s="19"/>
      <c r="P161" s="19"/>
      <c r="Q161" s="19"/>
      <c r="R161" s="19"/>
      <c r="S161" s="19"/>
      <c r="T161" s="19"/>
      <c r="U161" s="19"/>
      <c r="V161" s="19"/>
      <c r="W161" s="19"/>
      <c r="X161" s="19"/>
      <c r="Y161" s="19"/>
      <c r="Z161" s="19"/>
      <c r="AA161" s="19"/>
      <c r="AB161" s="19"/>
      <c r="AC161" s="19"/>
      <c r="AD161" s="19"/>
      <c r="AE161" s="19"/>
      <c r="AF161" s="19"/>
      <c r="AG161" s="19"/>
      <c r="AH161" s="19"/>
      <c r="AI161" s="19"/>
    </row>
    <row r="162" spans="1:35" x14ac:dyDescent="0.3">
      <c r="A162" s="2" t="s">
        <v>314</v>
      </c>
      <c r="B162" s="2" t="s">
        <v>314</v>
      </c>
      <c r="C162" s="16" t="s">
        <v>345</v>
      </c>
      <c r="D162" s="18" t="s">
        <v>346</v>
      </c>
      <c r="E162" s="19"/>
      <c r="F162" s="19"/>
      <c r="G162" s="19"/>
      <c r="H162" s="19"/>
      <c r="I162" s="19"/>
      <c r="J162" s="19"/>
      <c r="K162" s="19"/>
      <c r="L162" s="19"/>
      <c r="M162" s="19"/>
      <c r="N162" s="19"/>
      <c r="O162" s="19"/>
      <c r="P162" s="19"/>
      <c r="Q162" s="19"/>
      <c r="R162" s="19"/>
      <c r="S162" s="19"/>
      <c r="T162" s="19"/>
      <c r="U162" s="19"/>
      <c r="V162" s="19"/>
      <c r="W162" s="19"/>
      <c r="X162" s="19"/>
      <c r="Y162" s="19"/>
      <c r="Z162" s="19"/>
      <c r="AA162" s="19"/>
      <c r="AB162" s="19"/>
      <c r="AC162" s="19"/>
      <c r="AD162" s="19"/>
      <c r="AE162" s="19"/>
      <c r="AF162" s="19"/>
      <c r="AG162" s="19"/>
      <c r="AH162" s="19"/>
      <c r="AI162" s="19"/>
    </row>
    <row r="163" spans="1:35" x14ac:dyDescent="0.3">
      <c r="A163" s="2" t="s">
        <v>314</v>
      </c>
      <c r="B163" s="2" t="s">
        <v>314</v>
      </c>
      <c r="C163" s="16" t="s">
        <v>347</v>
      </c>
      <c r="D163" s="18" t="s">
        <v>348</v>
      </c>
      <c r="E163" s="19"/>
      <c r="F163" s="19"/>
      <c r="G163" s="19"/>
      <c r="H163" s="19"/>
      <c r="I163" s="19"/>
      <c r="J163" s="19"/>
      <c r="K163" s="19"/>
      <c r="L163" s="19"/>
      <c r="M163" s="19"/>
      <c r="N163" s="19"/>
      <c r="O163" s="19"/>
      <c r="P163" s="19"/>
      <c r="Q163" s="19"/>
      <c r="R163" s="19"/>
      <c r="S163" s="19"/>
      <c r="T163" s="19"/>
      <c r="U163" s="19"/>
      <c r="V163" s="19"/>
      <c r="W163" s="19"/>
      <c r="X163" s="19"/>
      <c r="Y163" s="19"/>
      <c r="Z163" s="19"/>
      <c r="AA163" s="19"/>
      <c r="AB163" s="19"/>
      <c r="AC163" s="19"/>
      <c r="AD163" s="19"/>
      <c r="AE163" s="19"/>
      <c r="AF163" s="19"/>
      <c r="AG163" s="19"/>
      <c r="AH163" s="19"/>
      <c r="AI163" s="19"/>
    </row>
    <row r="164" spans="1:35" x14ac:dyDescent="0.3">
      <c r="A164" s="2" t="s">
        <v>314</v>
      </c>
      <c r="B164" s="2" t="s">
        <v>314</v>
      </c>
      <c r="C164" s="16" t="s">
        <v>349</v>
      </c>
      <c r="D164" s="18" t="s">
        <v>350</v>
      </c>
      <c r="E164" s="19"/>
      <c r="F164" s="19"/>
      <c r="G164" s="19"/>
      <c r="H164" s="19"/>
      <c r="I164" s="19"/>
      <c r="J164" s="19"/>
      <c r="K164" s="19"/>
      <c r="L164" s="19"/>
      <c r="M164" s="19"/>
      <c r="N164" s="19"/>
      <c r="O164" s="19"/>
      <c r="P164" s="19"/>
      <c r="Q164" s="19"/>
      <c r="R164" s="19"/>
      <c r="S164" s="19"/>
      <c r="T164" s="19"/>
      <c r="U164" s="19"/>
      <c r="V164" s="19"/>
      <c r="W164" s="19"/>
      <c r="X164" s="19"/>
      <c r="Y164" s="19"/>
      <c r="Z164" s="19"/>
      <c r="AA164" s="19"/>
      <c r="AB164" s="19"/>
      <c r="AC164" s="19"/>
      <c r="AD164" s="19"/>
      <c r="AE164" s="19"/>
      <c r="AF164" s="19"/>
      <c r="AG164" s="19"/>
      <c r="AH164" s="19"/>
      <c r="AI164" s="19"/>
    </row>
    <row r="165" spans="1:35" x14ac:dyDescent="0.3">
      <c r="A165" s="2" t="s">
        <v>362</v>
      </c>
      <c r="B165" s="2" t="s">
        <v>362</v>
      </c>
      <c r="C165" s="16" t="s">
        <v>362</v>
      </c>
      <c r="D165" s="18" t="s">
        <v>362</v>
      </c>
      <c r="E165" s="19"/>
      <c r="F165" s="19"/>
      <c r="G165" s="19"/>
      <c r="H165" s="19"/>
      <c r="I165" s="19"/>
      <c r="J165" s="19"/>
      <c r="K165" s="19"/>
      <c r="L165" s="19"/>
      <c r="M165" s="19"/>
      <c r="N165" s="19"/>
      <c r="O165" s="19"/>
      <c r="P165" s="19"/>
      <c r="Q165" s="19"/>
      <c r="R165" s="19"/>
      <c r="S165" s="19"/>
      <c r="T165" s="19"/>
      <c r="U165" s="19"/>
      <c r="V165" s="19"/>
      <c r="W165" s="19"/>
      <c r="X165" s="19"/>
      <c r="Y165" s="19"/>
      <c r="Z165" s="19"/>
      <c r="AA165" s="19"/>
      <c r="AB165" s="19"/>
      <c r="AC165" s="19"/>
      <c r="AD165" s="19"/>
      <c r="AE165" s="19"/>
      <c r="AF165" s="19"/>
      <c r="AG165" s="19"/>
      <c r="AH165" s="19"/>
      <c r="AI165" s="19"/>
    </row>
    <row r="166" spans="1:35" x14ac:dyDescent="0.3">
      <c r="A166" s="2" t="s">
        <v>362</v>
      </c>
      <c r="B166" s="2" t="s">
        <v>362</v>
      </c>
      <c r="C166" s="16" t="s">
        <v>362</v>
      </c>
      <c r="D166" s="18" t="s">
        <v>362</v>
      </c>
      <c r="E166" s="19"/>
      <c r="F166" s="19"/>
      <c r="G166" s="19"/>
      <c r="H166" s="19"/>
      <c r="I166" s="19"/>
      <c r="J166" s="19"/>
      <c r="K166" s="19"/>
      <c r="L166" s="19"/>
      <c r="M166" s="19"/>
      <c r="N166" s="19"/>
      <c r="O166" s="19"/>
      <c r="P166" s="19"/>
      <c r="Q166" s="19"/>
      <c r="R166" s="19"/>
      <c r="S166" s="19"/>
      <c r="T166" s="19"/>
      <c r="U166" s="19"/>
      <c r="V166" s="19"/>
      <c r="W166" s="19"/>
      <c r="X166" s="19"/>
      <c r="Y166" s="19"/>
      <c r="Z166" s="19"/>
      <c r="AA166" s="19"/>
      <c r="AB166" s="19"/>
      <c r="AC166" s="19"/>
      <c r="AD166" s="19"/>
      <c r="AE166" s="19"/>
      <c r="AF166" s="19"/>
      <c r="AG166" s="19"/>
      <c r="AH166" s="19"/>
      <c r="AI166" s="19"/>
    </row>
    <row r="167" spans="1:35" x14ac:dyDescent="0.3">
      <c r="A167" s="2" t="s">
        <v>362</v>
      </c>
      <c r="B167" s="2" t="s">
        <v>362</v>
      </c>
      <c r="C167" s="16" t="s">
        <v>362</v>
      </c>
      <c r="D167" s="18" t="s">
        <v>362</v>
      </c>
      <c r="E167" s="19"/>
      <c r="F167" s="19"/>
      <c r="G167" s="19"/>
      <c r="H167" s="19"/>
      <c r="I167" s="19"/>
      <c r="J167" s="19"/>
      <c r="K167" s="19"/>
      <c r="L167" s="19"/>
      <c r="M167" s="19"/>
      <c r="N167" s="19"/>
      <c r="O167" s="19"/>
      <c r="P167" s="19"/>
      <c r="Q167" s="19"/>
      <c r="R167" s="19"/>
      <c r="S167" s="19"/>
      <c r="T167" s="19"/>
      <c r="U167" s="19"/>
      <c r="V167" s="19"/>
      <c r="W167" s="19"/>
      <c r="X167" s="19"/>
      <c r="Y167" s="19"/>
      <c r="Z167" s="19"/>
      <c r="AA167" s="19"/>
      <c r="AB167" s="19"/>
      <c r="AC167" s="19"/>
      <c r="AD167" s="19"/>
      <c r="AE167" s="19"/>
      <c r="AF167" s="19"/>
      <c r="AG167" s="19"/>
      <c r="AH167" s="19"/>
      <c r="AI167" s="19"/>
    </row>
    <row r="168" spans="1:35" x14ac:dyDescent="0.3">
      <c r="A168" s="2" t="s">
        <v>362</v>
      </c>
      <c r="B168" s="2" t="s">
        <v>362</v>
      </c>
      <c r="C168" s="16" t="s">
        <v>362</v>
      </c>
      <c r="D168" s="18" t="s">
        <v>362</v>
      </c>
      <c r="E168" s="19"/>
      <c r="F168" s="19"/>
      <c r="G168" s="19"/>
      <c r="H168" s="19"/>
      <c r="I168" s="19"/>
      <c r="J168" s="19"/>
      <c r="K168" s="19"/>
      <c r="L168" s="19"/>
      <c r="M168" s="19"/>
      <c r="N168" s="19"/>
      <c r="O168" s="19"/>
      <c r="P168" s="19"/>
      <c r="Q168" s="19"/>
      <c r="R168" s="19"/>
      <c r="S168" s="19"/>
      <c r="T168" s="19"/>
      <c r="U168" s="19"/>
      <c r="V168" s="19"/>
      <c r="W168" s="19"/>
      <c r="X168" s="19"/>
      <c r="Y168" s="19"/>
      <c r="Z168" s="19"/>
      <c r="AA168" s="19"/>
      <c r="AB168" s="19"/>
      <c r="AC168" s="19"/>
      <c r="AD168" s="19"/>
      <c r="AE168" s="19"/>
      <c r="AF168" s="19"/>
      <c r="AG168" s="19"/>
      <c r="AH168" s="19"/>
      <c r="AI168" s="19"/>
    </row>
    <row r="169" spans="1:35" x14ac:dyDescent="0.3">
      <c r="A169" s="2" t="s">
        <v>362</v>
      </c>
      <c r="B169" s="2" t="s">
        <v>362</v>
      </c>
      <c r="C169" s="16" t="s">
        <v>362</v>
      </c>
      <c r="D169" s="18" t="s">
        <v>362</v>
      </c>
      <c r="E169" s="19"/>
      <c r="F169" s="19"/>
      <c r="G169" s="19"/>
      <c r="H169" s="19"/>
      <c r="I169" s="19"/>
      <c r="J169" s="19"/>
      <c r="K169" s="19"/>
      <c r="L169" s="19"/>
      <c r="M169" s="19"/>
      <c r="N169" s="19"/>
      <c r="O169" s="19"/>
      <c r="P169" s="19"/>
      <c r="Q169" s="19"/>
      <c r="R169" s="19"/>
      <c r="S169" s="19"/>
      <c r="T169" s="19"/>
      <c r="U169" s="19"/>
      <c r="V169" s="19"/>
      <c r="W169" s="19"/>
      <c r="X169" s="19"/>
      <c r="Y169" s="19"/>
      <c r="Z169" s="19"/>
      <c r="AA169" s="19"/>
      <c r="AB169" s="19"/>
      <c r="AC169" s="19"/>
      <c r="AD169" s="19"/>
      <c r="AE169" s="19"/>
      <c r="AF169" s="19"/>
      <c r="AG169" s="19"/>
      <c r="AH169" s="19"/>
      <c r="AI169" s="19"/>
    </row>
    <row r="170" spans="1:35" x14ac:dyDescent="0.3">
      <c r="A170" s="2" t="s">
        <v>362</v>
      </c>
      <c r="B170" s="2" t="s">
        <v>362</v>
      </c>
      <c r="C170" s="16" t="s">
        <v>362</v>
      </c>
      <c r="D170" s="18" t="s">
        <v>362</v>
      </c>
      <c r="E170" s="19"/>
      <c r="F170" s="19"/>
      <c r="G170" s="19"/>
      <c r="H170" s="19"/>
      <c r="I170" s="19"/>
      <c r="J170" s="19"/>
      <c r="K170" s="19"/>
      <c r="L170" s="19"/>
      <c r="M170" s="19"/>
      <c r="N170" s="19"/>
      <c r="O170" s="19"/>
      <c r="P170" s="19"/>
      <c r="Q170" s="19"/>
      <c r="R170" s="19"/>
      <c r="S170" s="19"/>
      <c r="T170" s="19"/>
      <c r="U170" s="19"/>
      <c r="V170" s="19"/>
      <c r="W170" s="19"/>
      <c r="X170" s="19"/>
      <c r="Y170" s="19"/>
      <c r="Z170" s="19"/>
      <c r="AA170" s="19"/>
      <c r="AB170" s="19"/>
      <c r="AC170" s="19"/>
      <c r="AD170" s="19"/>
      <c r="AE170" s="19"/>
      <c r="AF170" s="19"/>
      <c r="AG170" s="19"/>
      <c r="AH170" s="19"/>
      <c r="AI170" s="19"/>
    </row>
    <row r="171" spans="1:35" x14ac:dyDescent="0.3">
      <c r="A171" s="2" t="s">
        <v>362</v>
      </c>
      <c r="B171" s="2" t="s">
        <v>362</v>
      </c>
      <c r="C171" s="16" t="s">
        <v>362</v>
      </c>
      <c r="D171" s="18" t="s">
        <v>362</v>
      </c>
      <c r="E171" s="19"/>
      <c r="F171" s="19"/>
      <c r="G171" s="19"/>
      <c r="H171" s="19"/>
      <c r="I171" s="19"/>
      <c r="J171" s="19"/>
      <c r="K171" s="19"/>
      <c r="L171" s="19"/>
      <c r="M171" s="19"/>
      <c r="N171" s="19"/>
      <c r="O171" s="19"/>
      <c r="P171" s="19"/>
      <c r="Q171" s="19"/>
      <c r="R171" s="19"/>
      <c r="S171" s="19"/>
      <c r="T171" s="19"/>
      <c r="U171" s="19"/>
      <c r="V171" s="19"/>
      <c r="W171" s="19"/>
      <c r="X171" s="19"/>
      <c r="Y171" s="19"/>
      <c r="Z171" s="19"/>
      <c r="AA171" s="19"/>
      <c r="AB171" s="19"/>
      <c r="AC171" s="19"/>
      <c r="AD171" s="19"/>
      <c r="AE171" s="19"/>
      <c r="AF171" s="19"/>
      <c r="AG171" s="19"/>
      <c r="AH171" s="19"/>
      <c r="AI171" s="19"/>
    </row>
    <row r="172" spans="1:35" x14ac:dyDescent="0.3">
      <c r="A172" s="2" t="s">
        <v>362</v>
      </c>
      <c r="B172" s="2" t="s">
        <v>362</v>
      </c>
      <c r="C172" s="16" t="s">
        <v>362</v>
      </c>
      <c r="D172" s="18" t="s">
        <v>362</v>
      </c>
      <c r="E172" s="19"/>
      <c r="F172" s="19"/>
      <c r="G172" s="19"/>
      <c r="H172" s="19"/>
      <c r="I172" s="19"/>
      <c r="J172" s="19"/>
      <c r="K172" s="19"/>
      <c r="L172" s="19"/>
      <c r="M172" s="19"/>
      <c r="N172" s="19"/>
      <c r="O172" s="19"/>
      <c r="P172" s="19"/>
      <c r="Q172" s="19"/>
      <c r="R172" s="19"/>
      <c r="S172" s="19"/>
      <c r="T172" s="19"/>
      <c r="U172" s="19"/>
      <c r="V172" s="19"/>
      <c r="W172" s="19"/>
      <c r="X172" s="19"/>
      <c r="Y172" s="19"/>
      <c r="Z172" s="19"/>
      <c r="AA172" s="19"/>
      <c r="AB172" s="19"/>
      <c r="AC172" s="19"/>
      <c r="AD172" s="19"/>
      <c r="AE172" s="19"/>
      <c r="AF172" s="19"/>
      <c r="AG172" s="19"/>
      <c r="AH172" s="19"/>
      <c r="AI172" s="19"/>
    </row>
    <row r="173" spans="1:35" x14ac:dyDescent="0.3">
      <c r="A173" s="2" t="s">
        <v>362</v>
      </c>
      <c r="B173" s="2" t="s">
        <v>362</v>
      </c>
      <c r="C173" s="16" t="s">
        <v>362</v>
      </c>
      <c r="D173" s="18" t="s">
        <v>362</v>
      </c>
      <c r="E173" s="19"/>
      <c r="F173" s="19"/>
      <c r="G173" s="19"/>
      <c r="H173" s="19"/>
      <c r="I173" s="19"/>
      <c r="J173" s="19"/>
      <c r="K173" s="19"/>
      <c r="L173" s="19"/>
      <c r="M173" s="19"/>
      <c r="N173" s="19"/>
      <c r="O173" s="19"/>
      <c r="P173" s="19"/>
      <c r="Q173" s="19"/>
      <c r="R173" s="19"/>
      <c r="S173" s="19"/>
      <c r="T173" s="19"/>
      <c r="U173" s="19"/>
      <c r="V173" s="19"/>
      <c r="W173" s="19"/>
      <c r="X173" s="19"/>
      <c r="Y173" s="19"/>
      <c r="Z173" s="19"/>
      <c r="AA173" s="19"/>
      <c r="AB173" s="19"/>
      <c r="AC173" s="19"/>
      <c r="AD173" s="19"/>
      <c r="AE173" s="19"/>
      <c r="AF173" s="19"/>
      <c r="AG173" s="19"/>
      <c r="AH173" s="19"/>
      <c r="AI173" s="19"/>
    </row>
    <row r="174" spans="1:35" x14ac:dyDescent="0.3">
      <c r="A174" s="2" t="s">
        <v>362</v>
      </c>
      <c r="B174" s="2" t="s">
        <v>362</v>
      </c>
      <c r="C174" s="16" t="s">
        <v>362</v>
      </c>
      <c r="D174" s="18" t="s">
        <v>362</v>
      </c>
      <c r="E174" s="19"/>
      <c r="F174" s="19"/>
      <c r="G174" s="19"/>
      <c r="H174" s="19"/>
      <c r="I174" s="19"/>
      <c r="J174" s="19"/>
      <c r="K174" s="19"/>
      <c r="L174" s="19"/>
      <c r="M174" s="19"/>
      <c r="N174" s="19"/>
      <c r="O174" s="19"/>
      <c r="P174" s="19"/>
      <c r="Q174" s="19"/>
      <c r="R174" s="19"/>
      <c r="S174" s="19"/>
      <c r="T174" s="19"/>
      <c r="U174" s="19"/>
      <c r="V174" s="19"/>
      <c r="W174" s="19"/>
      <c r="X174" s="19"/>
      <c r="Y174" s="19"/>
      <c r="Z174" s="19"/>
      <c r="AA174" s="19"/>
      <c r="AB174" s="19"/>
      <c r="AC174" s="19"/>
      <c r="AD174" s="19"/>
      <c r="AE174" s="19"/>
      <c r="AF174" s="19"/>
      <c r="AG174" s="19"/>
      <c r="AH174" s="19"/>
      <c r="AI174" s="19"/>
    </row>
    <row r="175" spans="1:35" x14ac:dyDescent="0.3">
      <c r="A175" s="2" t="s">
        <v>362</v>
      </c>
      <c r="B175" s="2" t="s">
        <v>362</v>
      </c>
      <c r="C175" s="16" t="s">
        <v>362</v>
      </c>
      <c r="D175" s="18" t="s">
        <v>362</v>
      </c>
      <c r="E175" s="19"/>
      <c r="F175" s="19"/>
      <c r="G175" s="19"/>
      <c r="H175" s="19"/>
      <c r="I175" s="19"/>
      <c r="J175" s="19"/>
      <c r="K175" s="19"/>
      <c r="L175" s="19"/>
      <c r="M175" s="19"/>
      <c r="N175" s="19"/>
      <c r="O175" s="19"/>
      <c r="P175" s="19"/>
      <c r="Q175" s="19"/>
      <c r="R175" s="19"/>
      <c r="S175" s="19"/>
      <c r="T175" s="19"/>
      <c r="U175" s="19"/>
      <c r="V175" s="19"/>
      <c r="W175" s="19"/>
      <c r="X175" s="19"/>
      <c r="Y175" s="19"/>
      <c r="Z175" s="19"/>
      <c r="AA175" s="19"/>
      <c r="AB175" s="19"/>
      <c r="AC175" s="19"/>
      <c r="AD175" s="19"/>
      <c r="AE175" s="19"/>
      <c r="AF175" s="19"/>
      <c r="AG175" s="19"/>
      <c r="AH175" s="19"/>
      <c r="AI175" s="19"/>
    </row>
    <row r="176" spans="1:35" x14ac:dyDescent="0.3">
      <c r="A176" s="2" t="s">
        <v>362</v>
      </c>
      <c r="B176" s="2" t="s">
        <v>362</v>
      </c>
      <c r="C176" s="16" t="s">
        <v>362</v>
      </c>
      <c r="D176" s="18" t="s">
        <v>362</v>
      </c>
      <c r="E176" s="19"/>
      <c r="F176" s="19"/>
      <c r="G176" s="19"/>
      <c r="H176" s="19"/>
      <c r="I176" s="19"/>
      <c r="J176" s="19"/>
      <c r="K176" s="19"/>
      <c r="L176" s="19"/>
      <c r="M176" s="19"/>
      <c r="N176" s="19"/>
      <c r="O176" s="19"/>
      <c r="P176" s="19"/>
      <c r="Q176" s="19"/>
      <c r="R176" s="19"/>
      <c r="S176" s="19"/>
      <c r="T176" s="19"/>
      <c r="U176" s="19"/>
      <c r="V176" s="19"/>
      <c r="W176" s="19"/>
      <c r="X176" s="19"/>
      <c r="Y176" s="19"/>
      <c r="Z176" s="19"/>
      <c r="AA176" s="19"/>
      <c r="AB176" s="19"/>
      <c r="AC176" s="19"/>
      <c r="AD176" s="19"/>
      <c r="AE176" s="19"/>
      <c r="AF176" s="19"/>
      <c r="AG176" s="19"/>
      <c r="AH176" s="19"/>
      <c r="AI176" s="19"/>
    </row>
    <row r="177" spans="1:35" x14ac:dyDescent="0.3">
      <c r="A177" s="2" t="s">
        <v>362</v>
      </c>
      <c r="B177" s="2" t="s">
        <v>362</v>
      </c>
      <c r="C177" s="16" t="s">
        <v>362</v>
      </c>
      <c r="D177" s="18" t="s">
        <v>362</v>
      </c>
      <c r="E177" s="19"/>
      <c r="F177" s="19"/>
      <c r="G177" s="19"/>
      <c r="H177" s="19"/>
      <c r="I177" s="19"/>
      <c r="J177" s="19"/>
      <c r="K177" s="19"/>
      <c r="L177" s="19"/>
      <c r="M177" s="19"/>
      <c r="N177" s="19"/>
      <c r="O177" s="19"/>
      <c r="P177" s="19"/>
      <c r="Q177" s="19"/>
      <c r="R177" s="19"/>
      <c r="S177" s="19"/>
      <c r="T177" s="19"/>
      <c r="U177" s="19"/>
      <c r="V177" s="19"/>
      <c r="W177" s="19"/>
      <c r="X177" s="19"/>
      <c r="Y177" s="19"/>
      <c r="Z177" s="19"/>
      <c r="AA177" s="19"/>
      <c r="AB177" s="19"/>
      <c r="AC177" s="19"/>
      <c r="AD177" s="19"/>
      <c r="AE177" s="19"/>
      <c r="AF177" s="19"/>
      <c r="AG177" s="19"/>
      <c r="AH177" s="19"/>
      <c r="AI177" s="19"/>
    </row>
    <row r="178" spans="1:35" x14ac:dyDescent="0.3">
      <c r="A178" s="2" t="s">
        <v>362</v>
      </c>
      <c r="B178" s="2" t="s">
        <v>362</v>
      </c>
      <c r="C178" s="16" t="s">
        <v>362</v>
      </c>
      <c r="D178" s="18" t="s">
        <v>362</v>
      </c>
      <c r="E178" s="19"/>
      <c r="F178" s="19"/>
      <c r="G178" s="19"/>
      <c r="H178" s="19"/>
      <c r="I178" s="19"/>
      <c r="J178" s="19"/>
      <c r="K178" s="19"/>
      <c r="L178" s="19"/>
      <c r="M178" s="19"/>
      <c r="N178" s="19"/>
      <c r="O178" s="19"/>
      <c r="P178" s="19"/>
      <c r="Q178" s="19"/>
      <c r="R178" s="19"/>
      <c r="S178" s="19"/>
      <c r="T178" s="19"/>
      <c r="U178" s="19"/>
      <c r="V178" s="19"/>
      <c r="W178" s="19"/>
      <c r="X178" s="19"/>
      <c r="Y178" s="19"/>
      <c r="Z178" s="19"/>
      <c r="AA178" s="19"/>
      <c r="AB178" s="19"/>
      <c r="AC178" s="19"/>
      <c r="AD178" s="19"/>
      <c r="AE178" s="19"/>
      <c r="AF178" s="19"/>
      <c r="AG178" s="19"/>
      <c r="AH178" s="19"/>
      <c r="AI178" s="19"/>
    </row>
    <row r="179" spans="1:35" x14ac:dyDescent="0.3">
      <c r="A179" s="2" t="s">
        <v>362</v>
      </c>
      <c r="B179" s="2" t="s">
        <v>362</v>
      </c>
      <c r="C179" s="16" t="s">
        <v>362</v>
      </c>
      <c r="D179" s="18" t="s">
        <v>362</v>
      </c>
      <c r="E179" s="19"/>
      <c r="F179" s="19"/>
      <c r="G179" s="19"/>
      <c r="H179" s="19"/>
      <c r="I179" s="19"/>
      <c r="J179" s="19"/>
      <c r="K179" s="19"/>
      <c r="L179" s="19"/>
      <c r="M179" s="19"/>
      <c r="N179" s="19"/>
      <c r="O179" s="19"/>
      <c r="P179" s="19"/>
      <c r="Q179" s="19"/>
      <c r="R179" s="19"/>
      <c r="S179" s="19"/>
      <c r="T179" s="19"/>
      <c r="U179" s="19"/>
      <c r="V179" s="19"/>
      <c r="W179" s="19"/>
      <c r="X179" s="19"/>
      <c r="Y179" s="19"/>
      <c r="Z179" s="19"/>
      <c r="AA179" s="19"/>
      <c r="AB179" s="19"/>
      <c r="AC179" s="19"/>
      <c r="AD179" s="19"/>
      <c r="AE179" s="19"/>
      <c r="AF179" s="19"/>
      <c r="AG179" s="19"/>
      <c r="AH179" s="19"/>
      <c r="AI179" s="19"/>
    </row>
    <row r="180" spans="1:35" x14ac:dyDescent="0.3">
      <c r="A180" s="2" t="s">
        <v>362</v>
      </c>
      <c r="B180" s="2" t="s">
        <v>362</v>
      </c>
      <c r="C180" s="16" t="s">
        <v>362</v>
      </c>
      <c r="D180" s="18" t="s">
        <v>362</v>
      </c>
      <c r="E180" s="19"/>
      <c r="F180" s="19"/>
      <c r="G180" s="19"/>
      <c r="H180" s="19"/>
      <c r="I180" s="19"/>
      <c r="J180" s="19"/>
      <c r="K180" s="19"/>
      <c r="L180" s="19"/>
      <c r="M180" s="19"/>
      <c r="N180" s="19"/>
      <c r="O180" s="19"/>
      <c r="P180" s="19"/>
      <c r="Q180" s="19"/>
      <c r="R180" s="19"/>
      <c r="S180" s="19"/>
      <c r="T180" s="19"/>
      <c r="U180" s="19"/>
      <c r="V180" s="19"/>
      <c r="W180" s="19"/>
      <c r="X180" s="19"/>
      <c r="Y180" s="19"/>
      <c r="Z180" s="19"/>
      <c r="AA180" s="19"/>
      <c r="AB180" s="19"/>
      <c r="AC180" s="19"/>
      <c r="AD180" s="19"/>
      <c r="AE180" s="19"/>
      <c r="AF180" s="19"/>
      <c r="AG180" s="19"/>
      <c r="AH180" s="19"/>
      <c r="AI180" s="19"/>
    </row>
    <row r="181" spans="1:35" x14ac:dyDescent="0.3">
      <c r="A181" s="2" t="s">
        <v>362</v>
      </c>
      <c r="B181" s="2" t="s">
        <v>362</v>
      </c>
      <c r="C181" s="16" t="s">
        <v>362</v>
      </c>
      <c r="D181" s="18" t="s">
        <v>362</v>
      </c>
      <c r="E181" s="19"/>
      <c r="F181" s="19"/>
      <c r="G181" s="19"/>
      <c r="H181" s="19"/>
      <c r="I181" s="19"/>
      <c r="J181" s="19"/>
      <c r="K181" s="19"/>
      <c r="L181" s="19"/>
      <c r="M181" s="19"/>
      <c r="N181" s="19"/>
      <c r="O181" s="19"/>
      <c r="P181" s="19"/>
      <c r="Q181" s="19"/>
      <c r="R181" s="19"/>
      <c r="S181" s="19"/>
      <c r="T181" s="19"/>
      <c r="U181" s="19"/>
      <c r="V181" s="19"/>
      <c r="W181" s="19"/>
      <c r="X181" s="19"/>
      <c r="Y181" s="19"/>
      <c r="Z181" s="19"/>
      <c r="AA181" s="19"/>
      <c r="AB181" s="19"/>
      <c r="AC181" s="19"/>
      <c r="AD181" s="19"/>
      <c r="AE181" s="19"/>
      <c r="AF181" s="19"/>
      <c r="AG181" s="19"/>
      <c r="AH181" s="19"/>
      <c r="AI181" s="19"/>
    </row>
    <row r="182" spans="1:35" x14ac:dyDescent="0.3">
      <c r="A182" s="2" t="s">
        <v>362</v>
      </c>
      <c r="B182" s="2" t="s">
        <v>362</v>
      </c>
      <c r="C182" s="16" t="s">
        <v>362</v>
      </c>
      <c r="D182" s="18" t="s">
        <v>362</v>
      </c>
      <c r="E182" s="19"/>
      <c r="F182" s="19"/>
      <c r="G182" s="19"/>
      <c r="H182" s="19"/>
      <c r="I182" s="19"/>
      <c r="J182" s="19"/>
      <c r="K182" s="19"/>
      <c r="L182" s="19"/>
      <c r="M182" s="19"/>
      <c r="N182" s="19"/>
      <c r="O182" s="19"/>
      <c r="P182" s="19"/>
      <c r="Q182" s="19"/>
      <c r="R182" s="19"/>
      <c r="S182" s="19"/>
      <c r="T182" s="19"/>
      <c r="U182" s="19"/>
      <c r="V182" s="19"/>
      <c r="W182" s="19"/>
      <c r="X182" s="19"/>
      <c r="Y182" s="19"/>
      <c r="Z182" s="19"/>
      <c r="AA182" s="19"/>
      <c r="AB182" s="19"/>
      <c r="AC182" s="19"/>
      <c r="AD182" s="19"/>
      <c r="AE182" s="19"/>
      <c r="AF182" s="19"/>
      <c r="AG182" s="19"/>
      <c r="AH182" s="19"/>
      <c r="AI182" s="19"/>
    </row>
    <row r="183" spans="1:35" x14ac:dyDescent="0.3">
      <c r="A183" s="2" t="s">
        <v>362</v>
      </c>
      <c r="B183" s="2" t="s">
        <v>362</v>
      </c>
      <c r="C183" s="16" t="s">
        <v>362</v>
      </c>
      <c r="D183" s="18" t="s">
        <v>362</v>
      </c>
      <c r="E183" s="19"/>
      <c r="F183" s="19"/>
      <c r="G183" s="19"/>
      <c r="H183" s="19"/>
      <c r="I183" s="19"/>
      <c r="J183" s="19"/>
      <c r="K183" s="19"/>
      <c r="L183" s="19"/>
      <c r="M183" s="19"/>
      <c r="N183" s="19"/>
      <c r="O183" s="19"/>
      <c r="P183" s="19"/>
      <c r="Q183" s="19"/>
      <c r="R183" s="19"/>
      <c r="S183" s="19"/>
      <c r="T183" s="19"/>
      <c r="U183" s="19"/>
      <c r="V183" s="19"/>
      <c r="W183" s="19"/>
      <c r="X183" s="19"/>
      <c r="Y183" s="19"/>
      <c r="Z183" s="19"/>
      <c r="AA183" s="19"/>
      <c r="AB183" s="19"/>
      <c r="AC183" s="19"/>
      <c r="AD183" s="19"/>
      <c r="AE183" s="19"/>
      <c r="AF183" s="19"/>
      <c r="AG183" s="19"/>
      <c r="AH183" s="19"/>
      <c r="AI183" s="19"/>
    </row>
    <row r="184" spans="1:35" x14ac:dyDescent="0.3">
      <c r="A184" s="2" t="s">
        <v>362</v>
      </c>
      <c r="B184" s="2" t="s">
        <v>362</v>
      </c>
      <c r="C184" s="16" t="s">
        <v>362</v>
      </c>
      <c r="D184" s="18" t="s">
        <v>362</v>
      </c>
      <c r="E184" s="19"/>
      <c r="F184" s="19"/>
      <c r="G184" s="19"/>
      <c r="H184" s="19"/>
      <c r="I184" s="19"/>
      <c r="J184" s="19"/>
      <c r="K184" s="19"/>
      <c r="L184" s="19"/>
      <c r="M184" s="19"/>
      <c r="N184" s="19"/>
      <c r="O184" s="19"/>
      <c r="P184" s="19"/>
      <c r="Q184" s="19"/>
      <c r="R184" s="19"/>
      <c r="S184" s="19"/>
      <c r="T184" s="19"/>
      <c r="U184" s="19"/>
      <c r="V184" s="19"/>
      <c r="W184" s="19"/>
      <c r="X184" s="19"/>
      <c r="Y184" s="19"/>
      <c r="Z184" s="19"/>
      <c r="AA184" s="19"/>
      <c r="AB184" s="19"/>
      <c r="AC184" s="19"/>
      <c r="AD184" s="19"/>
      <c r="AE184" s="19"/>
      <c r="AF184" s="19"/>
      <c r="AG184" s="19"/>
      <c r="AH184" s="19"/>
      <c r="AI184" s="19"/>
    </row>
    <row r="185" spans="1:35" x14ac:dyDescent="0.3">
      <c r="A185" s="2" t="s">
        <v>362</v>
      </c>
      <c r="B185" s="2" t="s">
        <v>362</v>
      </c>
      <c r="C185" s="16" t="s">
        <v>362</v>
      </c>
      <c r="D185" s="18" t="s">
        <v>362</v>
      </c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19"/>
      <c r="T185" s="19"/>
      <c r="U185" s="19"/>
      <c r="V185" s="19"/>
      <c r="W185" s="19"/>
      <c r="X185" s="19"/>
      <c r="Y185" s="19"/>
      <c r="Z185" s="19"/>
      <c r="AA185" s="19"/>
      <c r="AB185" s="19"/>
      <c r="AC185" s="19"/>
      <c r="AD185" s="19"/>
      <c r="AE185" s="19"/>
      <c r="AF185" s="19"/>
      <c r="AG185" s="19"/>
      <c r="AH185" s="19"/>
      <c r="AI185" s="19"/>
    </row>
    <row r="186" spans="1:35" x14ac:dyDescent="0.3">
      <c r="A186" s="2" t="s">
        <v>362</v>
      </c>
      <c r="B186" s="2" t="s">
        <v>362</v>
      </c>
      <c r="C186" s="16" t="s">
        <v>362</v>
      </c>
      <c r="D186" s="18" t="s">
        <v>362</v>
      </c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19"/>
      <c r="T186" s="19"/>
      <c r="U186" s="19"/>
      <c r="V186" s="19"/>
      <c r="W186" s="19"/>
      <c r="X186" s="19"/>
      <c r="Y186" s="19"/>
      <c r="Z186" s="19"/>
      <c r="AA186" s="19"/>
      <c r="AB186" s="19"/>
      <c r="AC186" s="19"/>
      <c r="AD186" s="19"/>
      <c r="AE186" s="19"/>
      <c r="AF186" s="19"/>
      <c r="AG186" s="19"/>
      <c r="AH186" s="19"/>
      <c r="AI186" s="19"/>
    </row>
    <row r="187" spans="1:35" x14ac:dyDescent="0.3">
      <c r="A187" s="2" t="s">
        <v>362</v>
      </c>
      <c r="B187" s="2" t="s">
        <v>362</v>
      </c>
      <c r="C187" s="16" t="s">
        <v>362</v>
      </c>
      <c r="D187" s="18" t="s">
        <v>362</v>
      </c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19"/>
      <c r="T187" s="19"/>
      <c r="U187" s="19"/>
      <c r="V187" s="19"/>
      <c r="W187" s="19"/>
      <c r="X187" s="19"/>
      <c r="Y187" s="19"/>
      <c r="Z187" s="19"/>
      <c r="AA187" s="19"/>
      <c r="AB187" s="19"/>
      <c r="AC187" s="19"/>
      <c r="AD187" s="19"/>
      <c r="AE187" s="19"/>
      <c r="AF187" s="19"/>
      <c r="AG187" s="19"/>
      <c r="AH187" s="19"/>
      <c r="AI187" s="19"/>
    </row>
    <row r="188" spans="1:35" x14ac:dyDescent="0.3">
      <c r="A188" s="2" t="s">
        <v>362</v>
      </c>
      <c r="B188" s="2" t="s">
        <v>362</v>
      </c>
      <c r="C188" s="16" t="s">
        <v>362</v>
      </c>
      <c r="D188" s="18" t="s">
        <v>362</v>
      </c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19"/>
      <c r="T188" s="19"/>
      <c r="U188" s="19"/>
      <c r="V188" s="19"/>
      <c r="W188" s="19"/>
      <c r="X188" s="19"/>
      <c r="Y188" s="19"/>
      <c r="Z188" s="19"/>
      <c r="AA188" s="19"/>
      <c r="AB188" s="19"/>
      <c r="AC188" s="19"/>
      <c r="AD188" s="19"/>
      <c r="AE188" s="19"/>
      <c r="AF188" s="19"/>
      <c r="AG188" s="19"/>
      <c r="AH188" s="19"/>
      <c r="AI188" s="19"/>
    </row>
    <row r="189" spans="1:35" x14ac:dyDescent="0.3">
      <c r="A189" s="2" t="s">
        <v>362</v>
      </c>
      <c r="B189" s="2" t="s">
        <v>362</v>
      </c>
      <c r="C189" s="16" t="s">
        <v>362</v>
      </c>
      <c r="D189" s="18" t="s">
        <v>362</v>
      </c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19"/>
      <c r="T189" s="19"/>
      <c r="U189" s="19"/>
      <c r="V189" s="19"/>
      <c r="W189" s="19"/>
      <c r="X189" s="19"/>
      <c r="Y189" s="19"/>
      <c r="Z189" s="19"/>
      <c r="AA189" s="19"/>
      <c r="AB189" s="19"/>
      <c r="AC189" s="19"/>
      <c r="AD189" s="19"/>
      <c r="AE189" s="19"/>
      <c r="AF189" s="19"/>
      <c r="AG189" s="19"/>
      <c r="AH189" s="19"/>
      <c r="AI189" s="19"/>
    </row>
    <row r="190" spans="1:35" x14ac:dyDescent="0.3">
      <c r="A190" s="2" t="s">
        <v>362</v>
      </c>
      <c r="B190" s="2" t="s">
        <v>362</v>
      </c>
      <c r="C190" s="16" t="s">
        <v>362</v>
      </c>
      <c r="D190" s="18" t="s">
        <v>362</v>
      </c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19"/>
      <c r="T190" s="19"/>
      <c r="U190" s="19"/>
      <c r="V190" s="19"/>
      <c r="W190" s="19"/>
      <c r="X190" s="19"/>
      <c r="Y190" s="19"/>
      <c r="Z190" s="19"/>
      <c r="AA190" s="19"/>
      <c r="AB190" s="19"/>
      <c r="AC190" s="19"/>
      <c r="AD190" s="19"/>
      <c r="AE190" s="19"/>
      <c r="AF190" s="19"/>
      <c r="AG190" s="19"/>
      <c r="AH190" s="19"/>
      <c r="AI190" s="19"/>
    </row>
    <row r="191" spans="1:35" x14ac:dyDescent="0.3">
      <c r="A191" s="2" t="s">
        <v>362</v>
      </c>
      <c r="B191" s="2" t="s">
        <v>362</v>
      </c>
      <c r="C191" s="16" t="s">
        <v>362</v>
      </c>
      <c r="D191" s="18" t="s">
        <v>362</v>
      </c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19"/>
      <c r="T191" s="19"/>
      <c r="U191" s="19"/>
      <c r="V191" s="19"/>
      <c r="W191" s="19"/>
      <c r="X191" s="19"/>
      <c r="Y191" s="19"/>
      <c r="Z191" s="19"/>
      <c r="AA191" s="19"/>
      <c r="AB191" s="19"/>
      <c r="AC191" s="19"/>
      <c r="AD191" s="19"/>
      <c r="AE191" s="19"/>
      <c r="AF191" s="19"/>
      <c r="AG191" s="19"/>
      <c r="AH191" s="19"/>
      <c r="AI191" s="19"/>
    </row>
    <row r="192" spans="1:35" x14ac:dyDescent="0.3">
      <c r="A192" s="2" t="s">
        <v>362</v>
      </c>
      <c r="B192" s="2" t="s">
        <v>362</v>
      </c>
      <c r="C192" s="16" t="s">
        <v>362</v>
      </c>
      <c r="D192" s="18" t="s">
        <v>362</v>
      </c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19"/>
      <c r="T192" s="19"/>
      <c r="U192" s="19"/>
      <c r="V192" s="19"/>
      <c r="W192" s="19"/>
      <c r="X192" s="19"/>
      <c r="Y192" s="19"/>
      <c r="Z192" s="19"/>
      <c r="AA192" s="19"/>
      <c r="AB192" s="19"/>
      <c r="AC192" s="19"/>
      <c r="AD192" s="19"/>
      <c r="AE192" s="19"/>
      <c r="AF192" s="19"/>
      <c r="AG192" s="19"/>
      <c r="AH192" s="19"/>
      <c r="AI192" s="19"/>
    </row>
    <row r="193" spans="1:35" x14ac:dyDescent="0.3">
      <c r="A193" s="2" t="s">
        <v>362</v>
      </c>
      <c r="B193" s="2" t="s">
        <v>362</v>
      </c>
      <c r="C193" s="16" t="s">
        <v>362</v>
      </c>
      <c r="D193" s="18" t="s">
        <v>362</v>
      </c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19"/>
      <c r="T193" s="19"/>
      <c r="U193" s="19"/>
      <c r="V193" s="19"/>
      <c r="W193" s="19"/>
      <c r="X193" s="19"/>
      <c r="Y193" s="19"/>
      <c r="Z193" s="19"/>
      <c r="AA193" s="19"/>
      <c r="AB193" s="19"/>
      <c r="AC193" s="19"/>
      <c r="AD193" s="19"/>
      <c r="AE193" s="19"/>
      <c r="AF193" s="19"/>
      <c r="AG193" s="19"/>
      <c r="AH193" s="19"/>
      <c r="AI193" s="19"/>
    </row>
    <row r="194" spans="1:35" x14ac:dyDescent="0.3">
      <c r="A194" s="2" t="s">
        <v>362</v>
      </c>
      <c r="B194" s="2" t="s">
        <v>362</v>
      </c>
      <c r="C194" s="16" t="s">
        <v>362</v>
      </c>
      <c r="D194" s="18" t="s">
        <v>362</v>
      </c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19"/>
      <c r="T194" s="19"/>
      <c r="U194" s="19"/>
      <c r="V194" s="19"/>
      <c r="W194" s="19"/>
      <c r="X194" s="19"/>
      <c r="Y194" s="19"/>
      <c r="Z194" s="19"/>
      <c r="AA194" s="19"/>
      <c r="AB194" s="19"/>
      <c r="AC194" s="19"/>
      <c r="AD194" s="19"/>
      <c r="AE194" s="19"/>
      <c r="AF194" s="19"/>
      <c r="AG194" s="19"/>
      <c r="AH194" s="19"/>
      <c r="AI194" s="19"/>
    </row>
    <row r="195" spans="1:35" x14ac:dyDescent="0.3">
      <c r="A195" s="2" t="s">
        <v>362</v>
      </c>
      <c r="B195" s="2" t="s">
        <v>362</v>
      </c>
      <c r="C195" s="16" t="s">
        <v>362</v>
      </c>
      <c r="D195" s="18" t="s">
        <v>362</v>
      </c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19"/>
      <c r="T195" s="19"/>
      <c r="U195" s="19"/>
      <c r="V195" s="19"/>
      <c r="W195" s="19"/>
      <c r="X195" s="19"/>
      <c r="Y195" s="19"/>
      <c r="Z195" s="19"/>
      <c r="AA195" s="19"/>
      <c r="AB195" s="19"/>
      <c r="AC195" s="19"/>
      <c r="AD195" s="19"/>
      <c r="AE195" s="19"/>
      <c r="AF195" s="19"/>
      <c r="AG195" s="19"/>
      <c r="AH195" s="19"/>
      <c r="AI195" s="19"/>
    </row>
    <row r="196" spans="1:35" x14ac:dyDescent="0.3">
      <c r="A196" s="2" t="s">
        <v>362</v>
      </c>
      <c r="B196" s="2" t="s">
        <v>362</v>
      </c>
      <c r="C196" s="16" t="s">
        <v>362</v>
      </c>
      <c r="D196" s="18" t="s">
        <v>362</v>
      </c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19"/>
      <c r="T196" s="19"/>
      <c r="U196" s="19"/>
      <c r="V196" s="19"/>
      <c r="W196" s="19"/>
      <c r="X196" s="19"/>
      <c r="Y196" s="19"/>
      <c r="Z196" s="19"/>
      <c r="AA196" s="19"/>
      <c r="AB196" s="19"/>
      <c r="AC196" s="19"/>
      <c r="AD196" s="19"/>
      <c r="AE196" s="19"/>
      <c r="AF196" s="19"/>
      <c r="AG196" s="19"/>
      <c r="AH196" s="19"/>
      <c r="AI196" s="19"/>
    </row>
    <row r="197" spans="1:35" x14ac:dyDescent="0.3">
      <c r="A197" s="2" t="s">
        <v>362</v>
      </c>
      <c r="B197" s="2" t="s">
        <v>362</v>
      </c>
      <c r="C197" s="16" t="s">
        <v>362</v>
      </c>
      <c r="D197" s="18" t="s">
        <v>362</v>
      </c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19"/>
      <c r="T197" s="19"/>
      <c r="U197" s="19"/>
      <c r="V197" s="19"/>
      <c r="W197" s="19"/>
      <c r="X197" s="19"/>
      <c r="Y197" s="19"/>
      <c r="Z197" s="19"/>
      <c r="AA197" s="19"/>
      <c r="AB197" s="19"/>
      <c r="AC197" s="19"/>
      <c r="AD197" s="19"/>
      <c r="AE197" s="19"/>
      <c r="AF197" s="19"/>
      <c r="AG197" s="19"/>
      <c r="AH197" s="19"/>
      <c r="AI197" s="19"/>
    </row>
  </sheetData>
  <phoneticPr fontId="4" type="noConversion"/>
  <conditionalFormatting sqref="E1:AI1048576">
    <cfRule type="expression" dxfId="5" priority="1">
      <formula>WEEKDAY(E$2,2)&gt;5</formula>
    </cfRule>
  </conditionalFormatting>
  <conditionalFormatting sqref="E2:AI2">
    <cfRule type="expression" dxfId="4" priority="3">
      <formula>MOD(WEEKNUM(E$2,2),2)=0</formula>
    </cfRule>
    <cfRule type="expression" dxfId="3" priority="4">
      <formula>MOD(WEEKNUM(XEE$2,2),2)=1</formula>
    </cfRule>
  </conditionalFormatting>
  <conditionalFormatting sqref="E1:AI1 D3:AI1048576">
    <cfRule type="expression" dxfId="2" priority="5">
      <formula>MOD(WEEKNUM(D$2,2),2)=0</formula>
    </cfRule>
    <cfRule type="expression" dxfId="1" priority="6">
      <formula>MOD(WEEKNUM(D$2,2),2)=1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0D33F236-D8CD-4102-9850-673F12852BEC}">
            <xm:f>MATCH(E$2,假期對照表!$A$2:$A$18,0)</xm:f>
            <x14:dxf>
              <fill>
                <patternFill>
                  <bgColor theme="6"/>
                </patternFill>
              </fill>
            </x14:dxf>
          </x14:cfRule>
          <xm:sqref>E1:AI1048576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狀態清單!$A$1:$A$4</xm:f>
          </x14:formula1>
          <xm:sqref>E3:AI164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A4"/>
  <sheetViews>
    <sheetView workbookViewId="0">
      <selection activeCell="D2" sqref="D2"/>
    </sheetView>
  </sheetViews>
  <sheetFormatPr defaultRowHeight="16.2" x14ac:dyDescent="0.3"/>
  <sheetData>
    <row r="1" spans="1:1" x14ac:dyDescent="0.3">
      <c r="A1" s="26" t="s">
        <v>353</v>
      </c>
    </row>
    <row r="2" spans="1:1" x14ac:dyDescent="0.3">
      <c r="A2" s="26" t="s">
        <v>354</v>
      </c>
    </row>
    <row r="3" spans="1:1" x14ac:dyDescent="0.3">
      <c r="A3" s="26" t="s">
        <v>355</v>
      </c>
    </row>
    <row r="4" spans="1:1" x14ac:dyDescent="0.3">
      <c r="A4" s="26" t="s">
        <v>356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D163"/>
  <sheetViews>
    <sheetView workbookViewId="0">
      <selection activeCell="D25" sqref="D25"/>
    </sheetView>
  </sheetViews>
  <sheetFormatPr defaultRowHeight="16.2" x14ac:dyDescent="0.3"/>
  <cols>
    <col min="1" max="2" width="19.33203125" bestFit="1" customWidth="1"/>
    <col min="3" max="3" width="11.109375" bestFit="1" customWidth="1"/>
    <col min="4" max="4" width="7.21875" bestFit="1" customWidth="1"/>
  </cols>
  <sheetData>
    <row r="1" spans="1:4" x14ac:dyDescent="0.3">
      <c r="A1" s="1" t="s">
        <v>2</v>
      </c>
      <c r="B1" s="1" t="s">
        <v>3</v>
      </c>
      <c r="C1" s="1" t="s">
        <v>4</v>
      </c>
      <c r="D1" s="1" t="s">
        <v>5</v>
      </c>
    </row>
    <row r="2" spans="1:4" x14ac:dyDescent="0.3">
      <c r="A2" s="2" t="s">
        <v>6</v>
      </c>
      <c r="B2" s="2" t="s">
        <v>6</v>
      </c>
      <c r="C2" s="2" t="s">
        <v>7</v>
      </c>
      <c r="D2" s="2" t="s">
        <v>8</v>
      </c>
    </row>
    <row r="3" spans="1:4" x14ac:dyDescent="0.3">
      <c r="A3" s="2" t="s">
        <v>6</v>
      </c>
      <c r="B3" s="2" t="s">
        <v>6</v>
      </c>
      <c r="C3" s="2" t="s">
        <v>9</v>
      </c>
      <c r="D3" s="2" t="s">
        <v>10</v>
      </c>
    </row>
    <row r="4" spans="1:4" x14ac:dyDescent="0.3">
      <c r="A4" s="2" t="s">
        <v>6</v>
      </c>
      <c r="B4" s="2" t="s">
        <v>6</v>
      </c>
      <c r="C4" s="2" t="s">
        <v>11</v>
      </c>
      <c r="D4" s="2" t="s">
        <v>12</v>
      </c>
    </row>
    <row r="5" spans="1:4" x14ac:dyDescent="0.3">
      <c r="A5" s="2" t="s">
        <v>13</v>
      </c>
      <c r="B5" s="2" t="s">
        <v>13</v>
      </c>
      <c r="C5" s="2" t="s">
        <v>14</v>
      </c>
      <c r="D5" s="2" t="s">
        <v>15</v>
      </c>
    </row>
    <row r="6" spans="1:4" x14ac:dyDescent="0.3">
      <c r="A6" s="2" t="s">
        <v>16</v>
      </c>
      <c r="B6" s="2" t="s">
        <v>16</v>
      </c>
      <c r="C6" s="2" t="s">
        <v>17</v>
      </c>
      <c r="D6" s="2" t="s">
        <v>18</v>
      </c>
    </row>
    <row r="7" spans="1:4" x14ac:dyDescent="0.3">
      <c r="A7" s="2" t="s">
        <v>16</v>
      </c>
      <c r="B7" s="2" t="s">
        <v>16</v>
      </c>
      <c r="C7" s="2" t="s">
        <v>19</v>
      </c>
      <c r="D7" s="2" t="s">
        <v>20</v>
      </c>
    </row>
    <row r="8" spans="1:4" x14ac:dyDescent="0.3">
      <c r="A8" s="2" t="s">
        <v>21</v>
      </c>
      <c r="B8" s="2" t="s">
        <v>21</v>
      </c>
      <c r="C8" s="2" t="s">
        <v>22</v>
      </c>
      <c r="D8" s="2" t="s">
        <v>23</v>
      </c>
    </row>
    <row r="9" spans="1:4" x14ac:dyDescent="0.3">
      <c r="A9" s="2" t="s">
        <v>21</v>
      </c>
      <c r="B9" s="2" t="s">
        <v>21</v>
      </c>
      <c r="C9" s="2" t="s">
        <v>24</v>
      </c>
      <c r="D9" s="2" t="s">
        <v>25</v>
      </c>
    </row>
    <row r="10" spans="1:4" x14ac:dyDescent="0.3">
      <c r="A10" s="2" t="s">
        <v>21</v>
      </c>
      <c r="B10" s="2" t="s">
        <v>21</v>
      </c>
      <c r="C10" s="2" t="s">
        <v>26</v>
      </c>
      <c r="D10" s="2" t="s">
        <v>27</v>
      </c>
    </row>
    <row r="11" spans="1:4" x14ac:dyDescent="0.3">
      <c r="A11" s="2" t="s">
        <v>21</v>
      </c>
      <c r="B11" s="2" t="s">
        <v>21</v>
      </c>
      <c r="C11" s="2" t="s">
        <v>28</v>
      </c>
      <c r="D11" s="2" t="s">
        <v>29</v>
      </c>
    </row>
    <row r="12" spans="1:4" x14ac:dyDescent="0.3">
      <c r="A12" s="2" t="s">
        <v>21</v>
      </c>
      <c r="B12" s="2" t="s">
        <v>21</v>
      </c>
      <c r="C12" s="2" t="s">
        <v>30</v>
      </c>
      <c r="D12" s="2" t="s">
        <v>31</v>
      </c>
    </row>
    <row r="13" spans="1:4" x14ac:dyDescent="0.3">
      <c r="A13" s="2" t="s">
        <v>21</v>
      </c>
      <c r="B13" s="2" t="s">
        <v>21</v>
      </c>
      <c r="C13" s="2" t="s">
        <v>32</v>
      </c>
      <c r="D13" s="2" t="s">
        <v>33</v>
      </c>
    </row>
    <row r="14" spans="1:4" x14ac:dyDescent="0.3">
      <c r="A14" s="2" t="s">
        <v>21</v>
      </c>
      <c r="B14" s="2" t="s">
        <v>21</v>
      </c>
      <c r="C14" s="2" t="s">
        <v>34</v>
      </c>
      <c r="D14" s="2" t="s">
        <v>35</v>
      </c>
    </row>
    <row r="15" spans="1:4" x14ac:dyDescent="0.3">
      <c r="A15" s="2" t="s">
        <v>21</v>
      </c>
      <c r="B15" s="2" t="s">
        <v>21</v>
      </c>
      <c r="C15" s="2" t="s">
        <v>36</v>
      </c>
      <c r="D15" s="2" t="s">
        <v>37</v>
      </c>
    </row>
    <row r="16" spans="1:4" x14ac:dyDescent="0.3">
      <c r="A16" s="2" t="s">
        <v>21</v>
      </c>
      <c r="B16" s="2" t="s">
        <v>21</v>
      </c>
      <c r="C16" s="2" t="s">
        <v>38</v>
      </c>
      <c r="D16" s="2" t="s">
        <v>39</v>
      </c>
    </row>
    <row r="17" spans="1:4" x14ac:dyDescent="0.3">
      <c r="A17" s="2" t="s">
        <v>21</v>
      </c>
      <c r="B17" s="2" t="s">
        <v>21</v>
      </c>
      <c r="C17" s="2" t="s">
        <v>40</v>
      </c>
      <c r="D17" s="2" t="s">
        <v>41</v>
      </c>
    </row>
    <row r="18" spans="1:4" x14ac:dyDescent="0.3">
      <c r="A18" s="2" t="s">
        <v>21</v>
      </c>
      <c r="B18" s="2" t="s">
        <v>21</v>
      </c>
      <c r="C18" s="2" t="s">
        <v>42</v>
      </c>
      <c r="D18" s="2" t="s">
        <v>43</v>
      </c>
    </row>
    <row r="19" spans="1:4" x14ac:dyDescent="0.3">
      <c r="A19" s="2" t="s">
        <v>44</v>
      </c>
      <c r="B19" s="2" t="s">
        <v>44</v>
      </c>
      <c r="C19" s="2" t="s">
        <v>45</v>
      </c>
      <c r="D19" s="2" t="s">
        <v>46</v>
      </c>
    </row>
    <row r="20" spans="1:4" x14ac:dyDescent="0.3">
      <c r="A20" s="2" t="s">
        <v>44</v>
      </c>
      <c r="B20" s="2" t="s">
        <v>44</v>
      </c>
      <c r="C20" s="2" t="s">
        <v>47</v>
      </c>
      <c r="D20" s="2" t="s">
        <v>48</v>
      </c>
    </row>
    <row r="21" spans="1:4" x14ac:dyDescent="0.3">
      <c r="A21" s="2" t="s">
        <v>44</v>
      </c>
      <c r="B21" s="2" t="s">
        <v>44</v>
      </c>
      <c r="C21" s="2" t="s">
        <v>49</v>
      </c>
      <c r="D21" s="2" t="s">
        <v>50</v>
      </c>
    </row>
    <row r="22" spans="1:4" x14ac:dyDescent="0.3">
      <c r="A22" s="2" t="s">
        <v>44</v>
      </c>
      <c r="B22" s="2" t="s">
        <v>44</v>
      </c>
      <c r="C22" s="2" t="s">
        <v>51</v>
      </c>
      <c r="D22" s="2" t="s">
        <v>52</v>
      </c>
    </row>
    <row r="23" spans="1:4" x14ac:dyDescent="0.3">
      <c r="A23" s="2" t="s">
        <v>44</v>
      </c>
      <c r="B23" s="2" t="s">
        <v>44</v>
      </c>
      <c r="C23" s="2" t="s">
        <v>53</v>
      </c>
      <c r="D23" s="2" t="s">
        <v>54</v>
      </c>
    </row>
    <row r="24" spans="1:4" x14ac:dyDescent="0.3">
      <c r="A24" s="2" t="s">
        <v>44</v>
      </c>
      <c r="B24" s="2" t="s">
        <v>44</v>
      </c>
      <c r="C24" s="2" t="s">
        <v>55</v>
      </c>
      <c r="D24" s="2" t="s">
        <v>56</v>
      </c>
    </row>
    <row r="25" spans="1:4" x14ac:dyDescent="0.3">
      <c r="A25" s="2" t="s">
        <v>44</v>
      </c>
      <c r="B25" s="2" t="s">
        <v>44</v>
      </c>
      <c r="C25" s="2" t="s">
        <v>57</v>
      </c>
      <c r="D25" s="2" t="s">
        <v>58</v>
      </c>
    </row>
    <row r="26" spans="1:4" x14ac:dyDescent="0.3">
      <c r="A26" s="2" t="s">
        <v>44</v>
      </c>
      <c r="B26" s="2" t="s">
        <v>44</v>
      </c>
      <c r="C26" s="2" t="s">
        <v>59</v>
      </c>
      <c r="D26" s="2" t="s">
        <v>60</v>
      </c>
    </row>
    <row r="27" spans="1:4" x14ac:dyDescent="0.3">
      <c r="A27" s="2" t="s">
        <v>44</v>
      </c>
      <c r="B27" s="2" t="s">
        <v>44</v>
      </c>
      <c r="C27" s="2" t="s">
        <v>61</v>
      </c>
      <c r="D27" s="2" t="s">
        <v>62</v>
      </c>
    </row>
    <row r="28" spans="1:4" x14ac:dyDescent="0.3">
      <c r="A28" s="2" t="s">
        <v>44</v>
      </c>
      <c r="B28" s="2" t="s">
        <v>44</v>
      </c>
      <c r="C28" s="2" t="s">
        <v>63</v>
      </c>
      <c r="D28" s="2" t="s">
        <v>64</v>
      </c>
    </row>
    <row r="29" spans="1:4" x14ac:dyDescent="0.3">
      <c r="A29" s="2" t="s">
        <v>65</v>
      </c>
      <c r="B29" s="2" t="s">
        <v>65</v>
      </c>
      <c r="C29" s="2" t="s">
        <v>66</v>
      </c>
      <c r="D29" s="2" t="s">
        <v>67</v>
      </c>
    </row>
    <row r="30" spans="1:4" x14ac:dyDescent="0.3">
      <c r="A30" s="2" t="s">
        <v>65</v>
      </c>
      <c r="B30" s="2" t="s">
        <v>65</v>
      </c>
      <c r="C30" s="2" t="s">
        <v>68</v>
      </c>
      <c r="D30" s="2" t="s">
        <v>69</v>
      </c>
    </row>
    <row r="31" spans="1:4" x14ac:dyDescent="0.3">
      <c r="A31" s="2" t="s">
        <v>65</v>
      </c>
      <c r="B31" s="2" t="s">
        <v>65</v>
      </c>
      <c r="C31" s="2" t="s">
        <v>70</v>
      </c>
      <c r="D31" s="2" t="s">
        <v>71</v>
      </c>
    </row>
    <row r="32" spans="1:4" x14ac:dyDescent="0.3">
      <c r="A32" s="2" t="s">
        <v>65</v>
      </c>
      <c r="B32" s="2" t="s">
        <v>65</v>
      </c>
      <c r="C32" s="2" t="s">
        <v>72</v>
      </c>
      <c r="D32" s="2" t="s">
        <v>73</v>
      </c>
    </row>
    <row r="33" spans="1:4" x14ac:dyDescent="0.3">
      <c r="A33" s="2" t="s">
        <v>65</v>
      </c>
      <c r="B33" s="2" t="s">
        <v>65</v>
      </c>
      <c r="C33" s="2" t="s">
        <v>74</v>
      </c>
      <c r="D33" s="2" t="s">
        <v>75</v>
      </c>
    </row>
    <row r="34" spans="1:4" x14ac:dyDescent="0.3">
      <c r="A34" s="2" t="s">
        <v>65</v>
      </c>
      <c r="B34" s="2" t="s">
        <v>65</v>
      </c>
      <c r="C34" s="2" t="s">
        <v>76</v>
      </c>
      <c r="D34" s="2" t="s">
        <v>77</v>
      </c>
    </row>
    <row r="35" spans="1:4" x14ac:dyDescent="0.3">
      <c r="A35" s="2" t="s">
        <v>65</v>
      </c>
      <c r="B35" s="2" t="s">
        <v>65</v>
      </c>
      <c r="C35" s="2" t="s">
        <v>78</v>
      </c>
      <c r="D35" s="2" t="s">
        <v>79</v>
      </c>
    </row>
    <row r="36" spans="1:4" x14ac:dyDescent="0.3">
      <c r="A36" s="2" t="s">
        <v>65</v>
      </c>
      <c r="B36" s="2" t="s">
        <v>65</v>
      </c>
      <c r="C36" s="2" t="s">
        <v>80</v>
      </c>
      <c r="D36" s="2" t="s">
        <v>81</v>
      </c>
    </row>
    <row r="37" spans="1:4" x14ac:dyDescent="0.3">
      <c r="A37" s="2" t="s">
        <v>65</v>
      </c>
      <c r="B37" s="2" t="s">
        <v>65</v>
      </c>
      <c r="C37" s="2" t="s">
        <v>82</v>
      </c>
      <c r="D37" s="2" t="s">
        <v>83</v>
      </c>
    </row>
    <row r="38" spans="1:4" x14ac:dyDescent="0.3">
      <c r="A38" s="2" t="s">
        <v>65</v>
      </c>
      <c r="B38" s="2" t="s">
        <v>65</v>
      </c>
      <c r="C38" s="2" t="s">
        <v>84</v>
      </c>
      <c r="D38" s="2" t="s">
        <v>85</v>
      </c>
    </row>
    <row r="39" spans="1:4" x14ac:dyDescent="0.3">
      <c r="A39" s="2" t="s">
        <v>86</v>
      </c>
      <c r="B39" s="2" t="s">
        <v>86</v>
      </c>
      <c r="C39" s="2" t="s">
        <v>87</v>
      </c>
      <c r="D39" s="2" t="s">
        <v>88</v>
      </c>
    </row>
    <row r="40" spans="1:4" x14ac:dyDescent="0.3">
      <c r="A40" s="2" t="s">
        <v>86</v>
      </c>
      <c r="B40" s="2" t="s">
        <v>86</v>
      </c>
      <c r="C40" s="2" t="s">
        <v>89</v>
      </c>
      <c r="D40" s="2" t="s">
        <v>90</v>
      </c>
    </row>
    <row r="41" spans="1:4" x14ac:dyDescent="0.3">
      <c r="A41" s="2" t="s">
        <v>86</v>
      </c>
      <c r="B41" s="2" t="s">
        <v>86</v>
      </c>
      <c r="C41" s="2" t="s">
        <v>91</v>
      </c>
      <c r="D41" s="2" t="s">
        <v>92</v>
      </c>
    </row>
    <row r="42" spans="1:4" x14ac:dyDescent="0.3">
      <c r="A42" s="2" t="s">
        <v>86</v>
      </c>
      <c r="B42" s="2" t="s">
        <v>86</v>
      </c>
      <c r="C42" s="2" t="s">
        <v>93</v>
      </c>
      <c r="D42" s="2" t="s">
        <v>94</v>
      </c>
    </row>
    <row r="43" spans="1:4" x14ac:dyDescent="0.3">
      <c r="A43" s="2" t="s">
        <v>86</v>
      </c>
      <c r="B43" s="2" t="s">
        <v>86</v>
      </c>
      <c r="C43" s="2" t="s">
        <v>95</v>
      </c>
      <c r="D43" s="2" t="s">
        <v>96</v>
      </c>
    </row>
    <row r="44" spans="1:4" x14ac:dyDescent="0.3">
      <c r="A44" s="2" t="s">
        <v>86</v>
      </c>
      <c r="B44" s="2" t="s">
        <v>86</v>
      </c>
      <c r="C44" s="2" t="s">
        <v>97</v>
      </c>
      <c r="D44" s="2" t="s">
        <v>98</v>
      </c>
    </row>
    <row r="45" spans="1:4" x14ac:dyDescent="0.3">
      <c r="A45" s="2" t="s">
        <v>86</v>
      </c>
      <c r="B45" s="2" t="s">
        <v>86</v>
      </c>
      <c r="C45" s="2" t="s">
        <v>99</v>
      </c>
      <c r="D45" s="2" t="s">
        <v>100</v>
      </c>
    </row>
    <row r="46" spans="1:4" x14ac:dyDescent="0.3">
      <c r="A46" s="2" t="s">
        <v>86</v>
      </c>
      <c r="B46" s="2" t="s">
        <v>86</v>
      </c>
      <c r="C46" s="2" t="s">
        <v>101</v>
      </c>
      <c r="D46" s="2" t="s">
        <v>102</v>
      </c>
    </row>
    <row r="47" spans="1:4" x14ac:dyDescent="0.3">
      <c r="A47" s="2" t="s">
        <v>86</v>
      </c>
      <c r="B47" s="2" t="s">
        <v>86</v>
      </c>
      <c r="C47" s="2" t="s">
        <v>103</v>
      </c>
      <c r="D47" s="2" t="s">
        <v>104</v>
      </c>
    </row>
    <row r="48" spans="1:4" x14ac:dyDescent="0.3">
      <c r="A48" s="2" t="s">
        <v>86</v>
      </c>
      <c r="B48" s="2" t="s">
        <v>86</v>
      </c>
      <c r="C48" s="2" t="s">
        <v>105</v>
      </c>
      <c r="D48" s="2" t="s">
        <v>106</v>
      </c>
    </row>
    <row r="49" spans="1:4" x14ac:dyDescent="0.3">
      <c r="A49" s="2" t="s">
        <v>86</v>
      </c>
      <c r="B49" s="2" t="s">
        <v>86</v>
      </c>
      <c r="C49" s="2" t="s">
        <v>107</v>
      </c>
      <c r="D49" s="2" t="s">
        <v>108</v>
      </c>
    </row>
    <row r="50" spans="1:4" x14ac:dyDescent="0.3">
      <c r="A50" s="2" t="s">
        <v>109</v>
      </c>
      <c r="B50" s="2" t="s">
        <v>109</v>
      </c>
      <c r="C50" s="2" t="s">
        <v>110</v>
      </c>
      <c r="D50" s="2" t="s">
        <v>111</v>
      </c>
    </row>
    <row r="51" spans="1:4" x14ac:dyDescent="0.3">
      <c r="A51" s="2" t="s">
        <v>109</v>
      </c>
      <c r="B51" s="2" t="s">
        <v>109</v>
      </c>
      <c r="C51" s="2" t="s">
        <v>112</v>
      </c>
      <c r="D51" s="2" t="s">
        <v>113</v>
      </c>
    </row>
    <row r="52" spans="1:4" x14ac:dyDescent="0.3">
      <c r="A52" s="2" t="s">
        <v>109</v>
      </c>
      <c r="B52" s="2" t="s">
        <v>109</v>
      </c>
      <c r="C52" s="2" t="s">
        <v>114</v>
      </c>
      <c r="D52" s="2" t="s">
        <v>115</v>
      </c>
    </row>
    <row r="53" spans="1:4" x14ac:dyDescent="0.3">
      <c r="A53" s="2" t="s">
        <v>109</v>
      </c>
      <c r="B53" s="2" t="s">
        <v>109</v>
      </c>
      <c r="C53" s="2" t="s">
        <v>116</v>
      </c>
      <c r="D53" s="2" t="s">
        <v>117</v>
      </c>
    </row>
    <row r="54" spans="1:4" x14ac:dyDescent="0.3">
      <c r="A54" s="2" t="s">
        <v>109</v>
      </c>
      <c r="B54" s="2" t="s">
        <v>109</v>
      </c>
      <c r="C54" s="2" t="s">
        <v>118</v>
      </c>
      <c r="D54" s="2" t="s">
        <v>119</v>
      </c>
    </row>
    <row r="55" spans="1:4" x14ac:dyDescent="0.3">
      <c r="A55" s="2" t="s">
        <v>109</v>
      </c>
      <c r="B55" s="2" t="s">
        <v>109</v>
      </c>
      <c r="C55" s="2" t="s">
        <v>120</v>
      </c>
      <c r="D55" s="2" t="s">
        <v>121</v>
      </c>
    </row>
    <row r="56" spans="1:4" x14ac:dyDescent="0.3">
      <c r="A56" s="2" t="s">
        <v>109</v>
      </c>
      <c r="B56" s="2" t="s">
        <v>109</v>
      </c>
      <c r="C56" s="2" t="s">
        <v>122</v>
      </c>
      <c r="D56" s="2" t="s">
        <v>123</v>
      </c>
    </row>
    <row r="57" spans="1:4" x14ac:dyDescent="0.3">
      <c r="A57" s="2" t="s">
        <v>124</v>
      </c>
      <c r="B57" s="2" t="s">
        <v>124</v>
      </c>
      <c r="C57" s="2" t="s">
        <v>125</v>
      </c>
      <c r="D57" s="2" t="s">
        <v>126</v>
      </c>
    </row>
    <row r="58" spans="1:4" x14ac:dyDescent="0.3">
      <c r="A58" s="2" t="s">
        <v>124</v>
      </c>
      <c r="B58" s="2" t="s">
        <v>124</v>
      </c>
      <c r="C58" s="2" t="s">
        <v>127</v>
      </c>
      <c r="D58" s="2" t="s">
        <v>128</v>
      </c>
    </row>
    <row r="59" spans="1:4" x14ac:dyDescent="0.3">
      <c r="A59" s="2" t="s">
        <v>124</v>
      </c>
      <c r="B59" s="2" t="s">
        <v>124</v>
      </c>
      <c r="C59" s="2" t="s">
        <v>129</v>
      </c>
      <c r="D59" s="2" t="s">
        <v>130</v>
      </c>
    </row>
    <row r="60" spans="1:4" x14ac:dyDescent="0.3">
      <c r="A60" s="2" t="s">
        <v>124</v>
      </c>
      <c r="B60" s="2" t="s">
        <v>124</v>
      </c>
      <c r="C60" s="2" t="s">
        <v>131</v>
      </c>
      <c r="D60" s="2" t="s">
        <v>132</v>
      </c>
    </row>
    <row r="61" spans="1:4" x14ac:dyDescent="0.3">
      <c r="A61" s="2" t="s">
        <v>124</v>
      </c>
      <c r="B61" s="2" t="s">
        <v>124</v>
      </c>
      <c r="C61" s="2" t="s">
        <v>133</v>
      </c>
      <c r="D61" s="2" t="s">
        <v>134</v>
      </c>
    </row>
    <row r="62" spans="1:4" x14ac:dyDescent="0.3">
      <c r="A62" s="2" t="s">
        <v>124</v>
      </c>
      <c r="B62" s="2" t="s">
        <v>124</v>
      </c>
      <c r="C62" s="2" t="s">
        <v>135</v>
      </c>
      <c r="D62" s="2" t="s">
        <v>136</v>
      </c>
    </row>
    <row r="63" spans="1:4" x14ac:dyDescent="0.3">
      <c r="A63" s="2" t="s">
        <v>137</v>
      </c>
      <c r="B63" s="2" t="s">
        <v>137</v>
      </c>
      <c r="C63" s="2" t="s">
        <v>138</v>
      </c>
      <c r="D63" s="2" t="s">
        <v>139</v>
      </c>
    </row>
    <row r="64" spans="1:4" x14ac:dyDescent="0.3">
      <c r="A64" s="2" t="s">
        <v>137</v>
      </c>
      <c r="B64" s="2" t="s">
        <v>137</v>
      </c>
      <c r="C64" s="2" t="s">
        <v>140</v>
      </c>
      <c r="D64" s="2" t="s">
        <v>141</v>
      </c>
    </row>
    <row r="65" spans="1:4" x14ac:dyDescent="0.3">
      <c r="A65" s="2" t="s">
        <v>137</v>
      </c>
      <c r="B65" s="2" t="s">
        <v>137</v>
      </c>
      <c r="C65" s="2" t="s">
        <v>142</v>
      </c>
      <c r="D65" s="2" t="s">
        <v>143</v>
      </c>
    </row>
    <row r="66" spans="1:4" x14ac:dyDescent="0.3">
      <c r="A66" s="2" t="s">
        <v>137</v>
      </c>
      <c r="B66" s="2" t="s">
        <v>137</v>
      </c>
      <c r="C66" s="2" t="s">
        <v>144</v>
      </c>
      <c r="D66" s="2" t="s">
        <v>145</v>
      </c>
    </row>
    <row r="67" spans="1:4" x14ac:dyDescent="0.3">
      <c r="A67" s="2" t="s">
        <v>137</v>
      </c>
      <c r="B67" s="2" t="s">
        <v>137</v>
      </c>
      <c r="C67" s="2" t="s">
        <v>146</v>
      </c>
      <c r="D67" s="2" t="s">
        <v>147</v>
      </c>
    </row>
    <row r="68" spans="1:4" x14ac:dyDescent="0.3">
      <c r="A68" s="2" t="s">
        <v>137</v>
      </c>
      <c r="B68" s="2" t="s">
        <v>137</v>
      </c>
      <c r="C68" s="2" t="s">
        <v>148</v>
      </c>
      <c r="D68" s="2" t="s">
        <v>149</v>
      </c>
    </row>
    <row r="69" spans="1:4" x14ac:dyDescent="0.3">
      <c r="A69" s="2" t="s">
        <v>150</v>
      </c>
      <c r="B69" s="2" t="s">
        <v>150</v>
      </c>
      <c r="C69" s="2" t="s">
        <v>151</v>
      </c>
      <c r="D69" s="2" t="s">
        <v>152</v>
      </c>
    </row>
    <row r="70" spans="1:4" x14ac:dyDescent="0.3">
      <c r="A70" s="2" t="s">
        <v>150</v>
      </c>
      <c r="B70" s="2" t="s">
        <v>150</v>
      </c>
      <c r="C70" s="2" t="s">
        <v>153</v>
      </c>
      <c r="D70" s="2" t="s">
        <v>154</v>
      </c>
    </row>
    <row r="71" spans="1:4" x14ac:dyDescent="0.3">
      <c r="A71" s="2" t="s">
        <v>150</v>
      </c>
      <c r="B71" s="2" t="s">
        <v>150</v>
      </c>
      <c r="C71" s="2" t="s">
        <v>155</v>
      </c>
      <c r="D71" s="2" t="s">
        <v>156</v>
      </c>
    </row>
    <row r="72" spans="1:4" x14ac:dyDescent="0.3">
      <c r="A72" s="2" t="s">
        <v>150</v>
      </c>
      <c r="B72" s="2" t="s">
        <v>150</v>
      </c>
      <c r="C72" s="2" t="s">
        <v>157</v>
      </c>
      <c r="D72" s="2" t="s">
        <v>158</v>
      </c>
    </row>
    <row r="73" spans="1:4" x14ac:dyDescent="0.3">
      <c r="A73" s="2" t="s">
        <v>150</v>
      </c>
      <c r="B73" s="2" t="s">
        <v>150</v>
      </c>
      <c r="C73" s="2" t="s">
        <v>159</v>
      </c>
      <c r="D73" s="2" t="s">
        <v>160</v>
      </c>
    </row>
    <row r="74" spans="1:4" x14ac:dyDescent="0.3">
      <c r="A74" s="2" t="s">
        <v>150</v>
      </c>
      <c r="B74" s="2" t="s">
        <v>150</v>
      </c>
      <c r="C74" s="2" t="s">
        <v>161</v>
      </c>
      <c r="D74" s="2" t="s">
        <v>162</v>
      </c>
    </row>
    <row r="75" spans="1:4" x14ac:dyDescent="0.3">
      <c r="A75" s="2" t="s">
        <v>150</v>
      </c>
      <c r="B75" s="2" t="s">
        <v>150</v>
      </c>
      <c r="C75" s="2" t="s">
        <v>163</v>
      </c>
      <c r="D75" s="2" t="s">
        <v>164</v>
      </c>
    </row>
    <row r="76" spans="1:4" x14ac:dyDescent="0.3">
      <c r="A76" s="2" t="s">
        <v>150</v>
      </c>
      <c r="B76" s="2" t="s">
        <v>150</v>
      </c>
      <c r="C76" s="2" t="s">
        <v>165</v>
      </c>
      <c r="D76" s="2" t="s">
        <v>166</v>
      </c>
    </row>
    <row r="77" spans="1:4" x14ac:dyDescent="0.3">
      <c r="A77" s="2" t="s">
        <v>150</v>
      </c>
      <c r="B77" s="2" t="s">
        <v>150</v>
      </c>
      <c r="C77" s="2" t="s">
        <v>167</v>
      </c>
      <c r="D77" s="2" t="s">
        <v>168</v>
      </c>
    </row>
    <row r="78" spans="1:4" x14ac:dyDescent="0.3">
      <c r="A78" s="2" t="s">
        <v>150</v>
      </c>
      <c r="B78" s="2" t="s">
        <v>150</v>
      </c>
      <c r="C78" s="2" t="s">
        <v>169</v>
      </c>
      <c r="D78" s="2" t="s">
        <v>170</v>
      </c>
    </row>
    <row r="79" spans="1:4" x14ac:dyDescent="0.3">
      <c r="A79" s="2" t="s">
        <v>150</v>
      </c>
      <c r="B79" s="2" t="s">
        <v>150</v>
      </c>
      <c r="C79" s="2" t="s">
        <v>171</v>
      </c>
      <c r="D79" s="2" t="s">
        <v>172</v>
      </c>
    </row>
    <row r="80" spans="1:4" x14ac:dyDescent="0.3">
      <c r="A80" s="2" t="s">
        <v>150</v>
      </c>
      <c r="B80" s="2" t="s">
        <v>150</v>
      </c>
      <c r="C80" s="2" t="s">
        <v>173</v>
      </c>
      <c r="D80" s="2" t="s">
        <v>174</v>
      </c>
    </row>
    <row r="81" spans="1:4" x14ac:dyDescent="0.3">
      <c r="A81" s="2" t="s">
        <v>150</v>
      </c>
      <c r="B81" s="2" t="s">
        <v>150</v>
      </c>
      <c r="C81" s="2" t="s">
        <v>175</v>
      </c>
      <c r="D81" s="2" t="s">
        <v>176</v>
      </c>
    </row>
    <row r="82" spans="1:4" x14ac:dyDescent="0.3">
      <c r="A82" s="2" t="s">
        <v>177</v>
      </c>
      <c r="B82" s="2" t="s">
        <v>177</v>
      </c>
      <c r="C82" s="2" t="s">
        <v>178</v>
      </c>
      <c r="D82" s="2" t="s">
        <v>179</v>
      </c>
    </row>
    <row r="83" spans="1:4" x14ac:dyDescent="0.3">
      <c r="A83" s="2" t="s">
        <v>177</v>
      </c>
      <c r="B83" s="2" t="s">
        <v>177</v>
      </c>
      <c r="C83" s="2" t="s">
        <v>180</v>
      </c>
      <c r="D83" s="2" t="s">
        <v>181</v>
      </c>
    </row>
    <row r="84" spans="1:4" x14ac:dyDescent="0.3">
      <c r="A84" s="2" t="s">
        <v>177</v>
      </c>
      <c r="B84" s="2" t="s">
        <v>177</v>
      </c>
      <c r="C84" s="2" t="s">
        <v>182</v>
      </c>
      <c r="D84" s="2" t="s">
        <v>183</v>
      </c>
    </row>
    <row r="85" spans="1:4" x14ac:dyDescent="0.3">
      <c r="A85" s="2" t="s">
        <v>184</v>
      </c>
      <c r="B85" s="2" t="s">
        <v>184</v>
      </c>
      <c r="C85" s="2" t="s">
        <v>185</v>
      </c>
      <c r="D85" s="2" t="s">
        <v>186</v>
      </c>
    </row>
    <row r="86" spans="1:4" x14ac:dyDescent="0.3">
      <c r="A86" s="2" t="s">
        <v>184</v>
      </c>
      <c r="B86" s="2" t="s">
        <v>184</v>
      </c>
      <c r="C86" s="2" t="s">
        <v>187</v>
      </c>
      <c r="D86" s="2" t="s">
        <v>188</v>
      </c>
    </row>
    <row r="87" spans="1:4" x14ac:dyDescent="0.3">
      <c r="A87" s="2" t="s">
        <v>184</v>
      </c>
      <c r="B87" s="2" t="s">
        <v>184</v>
      </c>
      <c r="C87" s="2" t="s">
        <v>189</v>
      </c>
      <c r="D87" s="2" t="s">
        <v>190</v>
      </c>
    </row>
    <row r="88" spans="1:4" x14ac:dyDescent="0.3">
      <c r="A88" s="2" t="s">
        <v>184</v>
      </c>
      <c r="B88" s="2" t="s">
        <v>184</v>
      </c>
      <c r="C88" s="2" t="s">
        <v>191</v>
      </c>
      <c r="D88" s="2" t="s">
        <v>192</v>
      </c>
    </row>
    <row r="89" spans="1:4" x14ac:dyDescent="0.3">
      <c r="A89" s="2" t="s">
        <v>184</v>
      </c>
      <c r="B89" s="2" t="s">
        <v>184</v>
      </c>
      <c r="C89" s="2" t="s">
        <v>193</v>
      </c>
      <c r="D89" s="2" t="s">
        <v>194</v>
      </c>
    </row>
    <row r="90" spans="1:4" x14ac:dyDescent="0.3">
      <c r="A90" s="2" t="s">
        <v>184</v>
      </c>
      <c r="B90" s="2" t="s">
        <v>184</v>
      </c>
      <c r="C90" s="2" t="s">
        <v>195</v>
      </c>
      <c r="D90" s="2" t="s">
        <v>196</v>
      </c>
    </row>
    <row r="91" spans="1:4" x14ac:dyDescent="0.3">
      <c r="A91" s="2" t="s">
        <v>197</v>
      </c>
      <c r="B91" s="2" t="s">
        <v>197</v>
      </c>
      <c r="C91" s="2" t="s">
        <v>198</v>
      </c>
      <c r="D91" s="2" t="s">
        <v>199</v>
      </c>
    </row>
    <row r="92" spans="1:4" x14ac:dyDescent="0.3">
      <c r="A92" s="2" t="s">
        <v>197</v>
      </c>
      <c r="B92" s="2" t="s">
        <v>197</v>
      </c>
      <c r="C92" s="2" t="s">
        <v>200</v>
      </c>
      <c r="D92" s="2" t="s">
        <v>201</v>
      </c>
    </row>
    <row r="93" spans="1:4" x14ac:dyDescent="0.3">
      <c r="A93" s="2" t="s">
        <v>202</v>
      </c>
      <c r="B93" s="2" t="s">
        <v>202</v>
      </c>
      <c r="C93" s="2" t="s">
        <v>203</v>
      </c>
      <c r="D93" s="2" t="s">
        <v>204</v>
      </c>
    </row>
    <row r="94" spans="1:4" x14ac:dyDescent="0.3">
      <c r="A94" s="2" t="s">
        <v>202</v>
      </c>
      <c r="B94" s="2" t="s">
        <v>202</v>
      </c>
      <c r="C94" s="2" t="s">
        <v>205</v>
      </c>
      <c r="D94" s="2" t="s">
        <v>206</v>
      </c>
    </row>
    <row r="95" spans="1:4" x14ac:dyDescent="0.3">
      <c r="A95" s="2" t="s">
        <v>202</v>
      </c>
      <c r="B95" s="2" t="s">
        <v>202</v>
      </c>
      <c r="C95" s="2" t="s">
        <v>207</v>
      </c>
      <c r="D95" s="2" t="s">
        <v>208</v>
      </c>
    </row>
    <row r="96" spans="1:4" x14ac:dyDescent="0.3">
      <c r="A96" s="2" t="s">
        <v>202</v>
      </c>
      <c r="B96" s="2" t="s">
        <v>202</v>
      </c>
      <c r="C96" s="2" t="s">
        <v>209</v>
      </c>
      <c r="D96" s="2" t="s">
        <v>210</v>
      </c>
    </row>
    <row r="97" spans="1:4" x14ac:dyDescent="0.3">
      <c r="A97" s="2" t="s">
        <v>202</v>
      </c>
      <c r="B97" s="2" t="s">
        <v>202</v>
      </c>
      <c r="C97" s="2" t="s">
        <v>211</v>
      </c>
      <c r="D97" s="2" t="s">
        <v>212</v>
      </c>
    </row>
    <row r="98" spans="1:4" x14ac:dyDescent="0.3">
      <c r="A98" s="2" t="s">
        <v>202</v>
      </c>
      <c r="B98" s="2" t="s">
        <v>202</v>
      </c>
      <c r="C98" s="2" t="s">
        <v>213</v>
      </c>
      <c r="D98" s="2" t="s">
        <v>214</v>
      </c>
    </row>
    <row r="99" spans="1:4" x14ac:dyDescent="0.3">
      <c r="A99" s="2" t="s">
        <v>202</v>
      </c>
      <c r="B99" s="2" t="s">
        <v>202</v>
      </c>
      <c r="C99" s="2" t="s">
        <v>215</v>
      </c>
      <c r="D99" s="2" t="s">
        <v>216</v>
      </c>
    </row>
    <row r="100" spans="1:4" x14ac:dyDescent="0.3">
      <c r="A100" s="2" t="s">
        <v>202</v>
      </c>
      <c r="B100" s="2" t="s">
        <v>202</v>
      </c>
      <c r="C100" s="2" t="s">
        <v>217</v>
      </c>
      <c r="D100" s="2" t="s">
        <v>218</v>
      </c>
    </row>
    <row r="101" spans="1:4" x14ac:dyDescent="0.3">
      <c r="A101" s="2" t="s">
        <v>202</v>
      </c>
      <c r="B101" s="2" t="s">
        <v>202</v>
      </c>
      <c r="C101" s="2" t="s">
        <v>219</v>
      </c>
      <c r="D101" s="2" t="s">
        <v>220</v>
      </c>
    </row>
    <row r="102" spans="1:4" x14ac:dyDescent="0.3">
      <c r="A102" s="2" t="s">
        <v>202</v>
      </c>
      <c r="B102" s="2" t="s">
        <v>202</v>
      </c>
      <c r="C102" s="2" t="s">
        <v>221</v>
      </c>
      <c r="D102" s="2" t="s">
        <v>222</v>
      </c>
    </row>
    <row r="103" spans="1:4" x14ac:dyDescent="0.3">
      <c r="A103" s="2" t="s">
        <v>202</v>
      </c>
      <c r="B103" s="2" t="s">
        <v>202</v>
      </c>
      <c r="C103" s="2" t="s">
        <v>223</v>
      </c>
      <c r="D103" s="2" t="s">
        <v>224</v>
      </c>
    </row>
    <row r="104" spans="1:4" x14ac:dyDescent="0.3">
      <c r="A104" s="2" t="s">
        <v>202</v>
      </c>
      <c r="B104" s="2" t="s">
        <v>202</v>
      </c>
      <c r="C104" s="2" t="s">
        <v>225</v>
      </c>
      <c r="D104" s="2" t="s">
        <v>226</v>
      </c>
    </row>
    <row r="105" spans="1:4" x14ac:dyDescent="0.3">
      <c r="A105" s="2" t="s">
        <v>202</v>
      </c>
      <c r="B105" s="2" t="s">
        <v>202</v>
      </c>
      <c r="C105" s="2" t="s">
        <v>227</v>
      </c>
      <c r="D105" s="2" t="s">
        <v>228</v>
      </c>
    </row>
    <row r="106" spans="1:4" x14ac:dyDescent="0.3">
      <c r="A106" s="2" t="s">
        <v>202</v>
      </c>
      <c r="B106" s="2" t="s">
        <v>202</v>
      </c>
      <c r="C106" s="2" t="s">
        <v>229</v>
      </c>
      <c r="D106" s="2" t="s">
        <v>230</v>
      </c>
    </row>
    <row r="107" spans="1:4" x14ac:dyDescent="0.3">
      <c r="A107" s="2" t="s">
        <v>202</v>
      </c>
      <c r="B107" s="2" t="s">
        <v>202</v>
      </c>
      <c r="C107" s="2" t="s">
        <v>231</v>
      </c>
      <c r="D107" s="2" t="s">
        <v>232</v>
      </c>
    </row>
    <row r="108" spans="1:4" x14ac:dyDescent="0.3">
      <c r="A108" s="2" t="s">
        <v>202</v>
      </c>
      <c r="B108" s="2" t="s">
        <v>202</v>
      </c>
      <c r="C108" s="2" t="s">
        <v>233</v>
      </c>
      <c r="D108" s="2" t="s">
        <v>234</v>
      </c>
    </row>
    <row r="109" spans="1:4" x14ac:dyDescent="0.3">
      <c r="A109" s="2" t="s">
        <v>235</v>
      </c>
      <c r="B109" s="2" t="s">
        <v>235</v>
      </c>
      <c r="C109" s="2" t="s">
        <v>236</v>
      </c>
      <c r="D109" s="2" t="s">
        <v>237</v>
      </c>
    </row>
    <row r="110" spans="1:4" x14ac:dyDescent="0.3">
      <c r="A110" s="2" t="s">
        <v>235</v>
      </c>
      <c r="B110" s="2" t="s">
        <v>235</v>
      </c>
      <c r="C110" s="2" t="s">
        <v>238</v>
      </c>
      <c r="D110" s="2" t="s">
        <v>239</v>
      </c>
    </row>
    <row r="111" spans="1:4" x14ac:dyDescent="0.3">
      <c r="A111" s="2" t="s">
        <v>235</v>
      </c>
      <c r="B111" s="2" t="s">
        <v>235</v>
      </c>
      <c r="C111" s="2" t="s">
        <v>240</v>
      </c>
      <c r="D111" s="2" t="s">
        <v>241</v>
      </c>
    </row>
    <row r="112" spans="1:4" x14ac:dyDescent="0.3">
      <c r="A112" s="2" t="s">
        <v>235</v>
      </c>
      <c r="B112" s="2" t="s">
        <v>235</v>
      </c>
      <c r="C112" s="2" t="s">
        <v>242</v>
      </c>
      <c r="D112" s="2" t="s">
        <v>243</v>
      </c>
    </row>
    <row r="113" spans="1:4" x14ac:dyDescent="0.3">
      <c r="A113" s="2" t="s">
        <v>235</v>
      </c>
      <c r="B113" s="2" t="s">
        <v>235</v>
      </c>
      <c r="C113" s="2" t="s">
        <v>244</v>
      </c>
      <c r="D113" s="2" t="s">
        <v>245</v>
      </c>
    </row>
    <row r="114" spans="1:4" x14ac:dyDescent="0.3">
      <c r="A114" s="2" t="s">
        <v>235</v>
      </c>
      <c r="B114" s="2" t="s">
        <v>235</v>
      </c>
      <c r="C114" s="2" t="s">
        <v>246</v>
      </c>
      <c r="D114" s="2" t="s">
        <v>247</v>
      </c>
    </row>
    <row r="115" spans="1:4" x14ac:dyDescent="0.3">
      <c r="A115" s="2" t="s">
        <v>248</v>
      </c>
      <c r="B115" s="2" t="s">
        <v>248</v>
      </c>
      <c r="C115" s="2" t="s">
        <v>249</v>
      </c>
      <c r="D115" s="3" t="s">
        <v>250</v>
      </c>
    </row>
    <row r="116" spans="1:4" x14ac:dyDescent="0.3">
      <c r="A116" s="2" t="s">
        <v>248</v>
      </c>
      <c r="B116" s="2" t="s">
        <v>248</v>
      </c>
      <c r="C116" s="2" t="s">
        <v>251</v>
      </c>
      <c r="D116" s="2" t="s">
        <v>252</v>
      </c>
    </row>
    <row r="117" spans="1:4" x14ac:dyDescent="0.3">
      <c r="A117" s="2" t="s">
        <v>248</v>
      </c>
      <c r="B117" s="2" t="s">
        <v>248</v>
      </c>
      <c r="C117" s="2" t="s">
        <v>253</v>
      </c>
      <c r="D117" s="2" t="s">
        <v>254</v>
      </c>
    </row>
    <row r="118" spans="1:4" x14ac:dyDescent="0.3">
      <c r="A118" s="2" t="s">
        <v>248</v>
      </c>
      <c r="B118" s="2" t="s">
        <v>248</v>
      </c>
      <c r="C118" s="2" t="s">
        <v>255</v>
      </c>
      <c r="D118" s="2" t="s">
        <v>256</v>
      </c>
    </row>
    <row r="119" spans="1:4" x14ac:dyDescent="0.3">
      <c r="A119" s="2" t="s">
        <v>248</v>
      </c>
      <c r="B119" s="2" t="s">
        <v>248</v>
      </c>
      <c r="C119" s="2" t="s">
        <v>257</v>
      </c>
      <c r="D119" s="2" t="s">
        <v>258</v>
      </c>
    </row>
    <row r="120" spans="1:4" x14ac:dyDescent="0.3">
      <c r="A120" s="2" t="s">
        <v>248</v>
      </c>
      <c r="B120" s="2" t="s">
        <v>248</v>
      </c>
      <c r="C120" s="2" t="s">
        <v>259</v>
      </c>
      <c r="D120" s="2" t="s">
        <v>260</v>
      </c>
    </row>
    <row r="121" spans="1:4" x14ac:dyDescent="0.3">
      <c r="A121" s="2" t="s">
        <v>248</v>
      </c>
      <c r="B121" s="2" t="s">
        <v>248</v>
      </c>
      <c r="C121" s="2" t="s">
        <v>261</v>
      </c>
      <c r="D121" s="2" t="s">
        <v>262</v>
      </c>
    </row>
    <row r="122" spans="1:4" x14ac:dyDescent="0.3">
      <c r="A122" s="2" t="s">
        <v>248</v>
      </c>
      <c r="B122" s="2" t="s">
        <v>248</v>
      </c>
      <c r="C122" s="2" t="s">
        <v>263</v>
      </c>
      <c r="D122" s="2" t="s">
        <v>264</v>
      </c>
    </row>
    <row r="123" spans="1:4" x14ac:dyDescent="0.3">
      <c r="A123" s="2" t="s">
        <v>265</v>
      </c>
      <c r="B123" s="2" t="s">
        <v>265</v>
      </c>
      <c r="C123" s="2" t="s">
        <v>266</v>
      </c>
      <c r="D123" s="2" t="s">
        <v>267</v>
      </c>
    </row>
    <row r="124" spans="1:4" x14ac:dyDescent="0.3">
      <c r="A124" s="2" t="s">
        <v>265</v>
      </c>
      <c r="B124" s="2" t="s">
        <v>265</v>
      </c>
      <c r="C124" s="2" t="s">
        <v>268</v>
      </c>
      <c r="D124" s="2" t="s">
        <v>269</v>
      </c>
    </row>
    <row r="125" spans="1:4" x14ac:dyDescent="0.3">
      <c r="A125" s="2" t="s">
        <v>265</v>
      </c>
      <c r="B125" s="2" t="s">
        <v>265</v>
      </c>
      <c r="C125" s="2" t="s">
        <v>270</v>
      </c>
      <c r="D125" s="2" t="s">
        <v>271</v>
      </c>
    </row>
    <row r="126" spans="1:4" x14ac:dyDescent="0.3">
      <c r="A126" s="2" t="s">
        <v>265</v>
      </c>
      <c r="B126" s="2" t="s">
        <v>265</v>
      </c>
      <c r="C126" s="2" t="s">
        <v>272</v>
      </c>
      <c r="D126" s="2" t="s">
        <v>273</v>
      </c>
    </row>
    <row r="127" spans="1:4" x14ac:dyDescent="0.3">
      <c r="A127" s="2" t="s">
        <v>265</v>
      </c>
      <c r="B127" s="2" t="s">
        <v>265</v>
      </c>
      <c r="C127" s="2" t="s">
        <v>274</v>
      </c>
      <c r="D127" s="2" t="s">
        <v>275</v>
      </c>
    </row>
    <row r="128" spans="1:4" x14ac:dyDescent="0.3">
      <c r="A128" s="2" t="s">
        <v>265</v>
      </c>
      <c r="B128" s="2" t="s">
        <v>265</v>
      </c>
      <c r="C128" s="2" t="s">
        <v>276</v>
      </c>
      <c r="D128" s="2" t="s">
        <v>277</v>
      </c>
    </row>
    <row r="129" spans="1:4" x14ac:dyDescent="0.3">
      <c r="A129" s="2" t="s">
        <v>265</v>
      </c>
      <c r="B129" s="2" t="s">
        <v>265</v>
      </c>
      <c r="C129" s="2" t="s">
        <v>278</v>
      </c>
      <c r="D129" s="2" t="s">
        <v>279</v>
      </c>
    </row>
    <row r="130" spans="1:4" x14ac:dyDescent="0.3">
      <c r="A130" s="2" t="s">
        <v>265</v>
      </c>
      <c r="B130" s="2" t="s">
        <v>265</v>
      </c>
      <c r="C130" s="2" t="s">
        <v>280</v>
      </c>
      <c r="D130" s="2" t="s">
        <v>281</v>
      </c>
    </row>
    <row r="131" spans="1:4" x14ac:dyDescent="0.3">
      <c r="A131" s="2" t="s">
        <v>282</v>
      </c>
      <c r="B131" s="2" t="s">
        <v>282</v>
      </c>
      <c r="C131" s="2" t="s">
        <v>283</v>
      </c>
      <c r="D131" s="2" t="s">
        <v>284</v>
      </c>
    </row>
    <row r="132" spans="1:4" x14ac:dyDescent="0.3">
      <c r="A132" s="2" t="s">
        <v>282</v>
      </c>
      <c r="B132" s="2" t="s">
        <v>282</v>
      </c>
      <c r="C132" s="2" t="s">
        <v>285</v>
      </c>
      <c r="D132" s="2" t="s">
        <v>286</v>
      </c>
    </row>
    <row r="133" spans="1:4" x14ac:dyDescent="0.3">
      <c r="A133" s="2" t="s">
        <v>282</v>
      </c>
      <c r="B133" s="2" t="s">
        <v>282</v>
      </c>
      <c r="C133" s="2" t="s">
        <v>287</v>
      </c>
      <c r="D133" s="2" t="s">
        <v>288</v>
      </c>
    </row>
    <row r="134" spans="1:4" x14ac:dyDescent="0.3">
      <c r="A134" s="2" t="s">
        <v>282</v>
      </c>
      <c r="B134" s="2" t="s">
        <v>282</v>
      </c>
      <c r="C134" s="2" t="s">
        <v>289</v>
      </c>
      <c r="D134" s="2" t="s">
        <v>290</v>
      </c>
    </row>
    <row r="135" spans="1:4" x14ac:dyDescent="0.3">
      <c r="A135" s="2" t="s">
        <v>282</v>
      </c>
      <c r="B135" s="2" t="s">
        <v>282</v>
      </c>
      <c r="C135" s="2" t="s">
        <v>291</v>
      </c>
      <c r="D135" s="2" t="s">
        <v>292</v>
      </c>
    </row>
    <row r="136" spans="1:4" x14ac:dyDescent="0.3">
      <c r="A136" s="2" t="s">
        <v>282</v>
      </c>
      <c r="B136" s="2" t="s">
        <v>282</v>
      </c>
      <c r="C136" s="2" t="s">
        <v>293</v>
      </c>
      <c r="D136" s="2" t="s">
        <v>294</v>
      </c>
    </row>
    <row r="137" spans="1:4" x14ac:dyDescent="0.3">
      <c r="A137" s="2" t="s">
        <v>282</v>
      </c>
      <c r="B137" s="2" t="s">
        <v>282</v>
      </c>
      <c r="C137" s="2" t="s">
        <v>295</v>
      </c>
      <c r="D137" s="2" t="s">
        <v>296</v>
      </c>
    </row>
    <row r="138" spans="1:4" x14ac:dyDescent="0.3">
      <c r="A138" s="2" t="s">
        <v>282</v>
      </c>
      <c r="B138" s="2" t="s">
        <v>282</v>
      </c>
      <c r="C138" s="2" t="s">
        <v>297</v>
      </c>
      <c r="D138" s="2" t="s">
        <v>298</v>
      </c>
    </row>
    <row r="139" spans="1:4" x14ac:dyDescent="0.3">
      <c r="A139" s="2" t="s">
        <v>299</v>
      </c>
      <c r="B139" s="2" t="s">
        <v>299</v>
      </c>
      <c r="C139" s="2" t="s">
        <v>300</v>
      </c>
      <c r="D139" s="2" t="s">
        <v>301</v>
      </c>
    </row>
    <row r="140" spans="1:4" x14ac:dyDescent="0.3">
      <c r="A140" s="2" t="s">
        <v>299</v>
      </c>
      <c r="B140" s="2" t="s">
        <v>299</v>
      </c>
      <c r="C140" s="2" t="s">
        <v>302</v>
      </c>
      <c r="D140" s="2" t="s">
        <v>303</v>
      </c>
    </row>
    <row r="141" spans="1:4" x14ac:dyDescent="0.3">
      <c r="A141" s="2" t="s">
        <v>299</v>
      </c>
      <c r="B141" s="2" t="s">
        <v>299</v>
      </c>
      <c r="C141" s="2" t="s">
        <v>304</v>
      </c>
      <c r="D141" s="2" t="s">
        <v>305</v>
      </c>
    </row>
    <row r="142" spans="1:4" x14ac:dyDescent="0.3">
      <c r="A142" s="2" t="s">
        <v>299</v>
      </c>
      <c r="B142" s="2" t="s">
        <v>299</v>
      </c>
      <c r="C142" s="2" t="s">
        <v>306</v>
      </c>
      <c r="D142" s="2" t="s">
        <v>307</v>
      </c>
    </row>
    <row r="143" spans="1:4" x14ac:dyDescent="0.3">
      <c r="A143" s="2" t="s">
        <v>299</v>
      </c>
      <c r="B143" s="2" t="s">
        <v>299</v>
      </c>
      <c r="C143" s="2" t="s">
        <v>308</v>
      </c>
      <c r="D143" s="2" t="s">
        <v>309</v>
      </c>
    </row>
    <row r="144" spans="1:4" x14ac:dyDescent="0.3">
      <c r="A144" s="2" t="s">
        <v>299</v>
      </c>
      <c r="B144" s="2" t="s">
        <v>299</v>
      </c>
      <c r="C144" s="2" t="s">
        <v>310</v>
      </c>
      <c r="D144" s="2" t="s">
        <v>311</v>
      </c>
    </row>
    <row r="145" spans="1:4" x14ac:dyDescent="0.3">
      <c r="A145" s="2" t="s">
        <v>299</v>
      </c>
      <c r="B145" s="2" t="s">
        <v>299</v>
      </c>
      <c r="C145" s="2" t="s">
        <v>312</v>
      </c>
      <c r="D145" s="2" t="s">
        <v>313</v>
      </c>
    </row>
    <row r="146" spans="1:4" x14ac:dyDescent="0.3">
      <c r="A146" s="2" t="s">
        <v>314</v>
      </c>
      <c r="B146" s="2" t="s">
        <v>314</v>
      </c>
      <c r="C146" s="2" t="s">
        <v>315</v>
      </c>
      <c r="D146" s="2" t="s">
        <v>316</v>
      </c>
    </row>
    <row r="147" spans="1:4" x14ac:dyDescent="0.3">
      <c r="A147" s="2" t="s">
        <v>314</v>
      </c>
      <c r="B147" s="2" t="s">
        <v>314</v>
      </c>
      <c r="C147" s="2" t="s">
        <v>317</v>
      </c>
      <c r="D147" s="2" t="s">
        <v>318</v>
      </c>
    </row>
    <row r="148" spans="1:4" x14ac:dyDescent="0.3">
      <c r="A148" s="2" t="s">
        <v>314</v>
      </c>
      <c r="B148" s="2" t="s">
        <v>314</v>
      </c>
      <c r="C148" s="2" t="s">
        <v>319</v>
      </c>
      <c r="D148" s="2" t="s">
        <v>320</v>
      </c>
    </row>
    <row r="149" spans="1:4" x14ac:dyDescent="0.3">
      <c r="A149" s="2" t="s">
        <v>314</v>
      </c>
      <c r="B149" s="2" t="s">
        <v>314</v>
      </c>
      <c r="C149" s="2" t="s">
        <v>321</v>
      </c>
      <c r="D149" s="2" t="s">
        <v>322</v>
      </c>
    </row>
    <row r="150" spans="1:4" x14ac:dyDescent="0.3">
      <c r="A150" s="2" t="s">
        <v>314</v>
      </c>
      <c r="B150" s="2" t="s">
        <v>314</v>
      </c>
      <c r="C150" s="2" t="s">
        <v>323</v>
      </c>
      <c r="D150" s="2" t="s">
        <v>324</v>
      </c>
    </row>
    <row r="151" spans="1:4" x14ac:dyDescent="0.3">
      <c r="A151" s="2" t="s">
        <v>314</v>
      </c>
      <c r="B151" s="2" t="s">
        <v>314</v>
      </c>
      <c r="C151" s="2" t="s">
        <v>325</v>
      </c>
      <c r="D151" s="2" t="s">
        <v>326</v>
      </c>
    </row>
    <row r="152" spans="1:4" x14ac:dyDescent="0.3">
      <c r="A152" s="2" t="s">
        <v>314</v>
      </c>
      <c r="B152" s="2" t="s">
        <v>314</v>
      </c>
      <c r="C152" s="2" t="s">
        <v>327</v>
      </c>
      <c r="D152" s="2" t="s">
        <v>328</v>
      </c>
    </row>
    <row r="153" spans="1:4" x14ac:dyDescent="0.3">
      <c r="A153" s="2" t="s">
        <v>314</v>
      </c>
      <c r="B153" s="2" t="s">
        <v>314</v>
      </c>
      <c r="C153" s="2" t="s">
        <v>329</v>
      </c>
      <c r="D153" s="2" t="s">
        <v>330</v>
      </c>
    </row>
    <row r="154" spans="1:4" x14ac:dyDescent="0.3">
      <c r="A154" s="2" t="s">
        <v>314</v>
      </c>
      <c r="B154" s="2" t="s">
        <v>314</v>
      </c>
      <c r="C154" s="2" t="s">
        <v>331</v>
      </c>
      <c r="D154" s="2" t="s">
        <v>332</v>
      </c>
    </row>
    <row r="155" spans="1:4" x14ac:dyDescent="0.3">
      <c r="A155" s="2" t="s">
        <v>314</v>
      </c>
      <c r="B155" s="2" t="s">
        <v>314</v>
      </c>
      <c r="C155" s="2" t="s">
        <v>333</v>
      </c>
      <c r="D155" s="2" t="s">
        <v>334</v>
      </c>
    </row>
    <row r="156" spans="1:4" x14ac:dyDescent="0.3">
      <c r="A156" s="2" t="s">
        <v>314</v>
      </c>
      <c r="B156" s="2" t="s">
        <v>314</v>
      </c>
      <c r="C156" s="2" t="s">
        <v>335</v>
      </c>
      <c r="D156" s="2" t="s">
        <v>336</v>
      </c>
    </row>
    <row r="157" spans="1:4" x14ac:dyDescent="0.3">
      <c r="A157" s="2" t="s">
        <v>314</v>
      </c>
      <c r="B157" s="2" t="s">
        <v>314</v>
      </c>
      <c r="C157" s="2" t="s">
        <v>337</v>
      </c>
      <c r="D157" s="2" t="s">
        <v>338</v>
      </c>
    </row>
    <row r="158" spans="1:4" x14ac:dyDescent="0.3">
      <c r="A158" s="2" t="s">
        <v>314</v>
      </c>
      <c r="B158" s="2" t="s">
        <v>314</v>
      </c>
      <c r="C158" s="2" t="s">
        <v>339</v>
      </c>
      <c r="D158" s="2" t="s">
        <v>340</v>
      </c>
    </row>
    <row r="159" spans="1:4" x14ac:dyDescent="0.3">
      <c r="A159" s="2" t="s">
        <v>314</v>
      </c>
      <c r="B159" s="2" t="s">
        <v>314</v>
      </c>
      <c r="C159" s="2" t="s">
        <v>341</v>
      </c>
      <c r="D159" s="2" t="s">
        <v>342</v>
      </c>
    </row>
    <row r="160" spans="1:4" x14ac:dyDescent="0.3">
      <c r="A160" s="2" t="s">
        <v>314</v>
      </c>
      <c r="B160" s="2" t="s">
        <v>314</v>
      </c>
      <c r="C160" s="2" t="s">
        <v>343</v>
      </c>
      <c r="D160" s="2" t="s">
        <v>344</v>
      </c>
    </row>
    <row r="161" spans="1:4" x14ac:dyDescent="0.3">
      <c r="A161" s="2" t="s">
        <v>314</v>
      </c>
      <c r="B161" s="2" t="s">
        <v>314</v>
      </c>
      <c r="C161" s="2" t="s">
        <v>345</v>
      </c>
      <c r="D161" s="2" t="s">
        <v>346</v>
      </c>
    </row>
    <row r="162" spans="1:4" x14ac:dyDescent="0.3">
      <c r="A162" s="2" t="s">
        <v>314</v>
      </c>
      <c r="B162" s="2" t="s">
        <v>314</v>
      </c>
      <c r="C162" s="2" t="s">
        <v>347</v>
      </c>
      <c r="D162" s="2" t="s">
        <v>348</v>
      </c>
    </row>
    <row r="163" spans="1:4" x14ac:dyDescent="0.3">
      <c r="A163" s="2" t="s">
        <v>314</v>
      </c>
      <c r="B163" s="2" t="s">
        <v>314</v>
      </c>
      <c r="C163" s="2" t="s">
        <v>349</v>
      </c>
      <c r="D163" s="2" t="s">
        <v>350</v>
      </c>
    </row>
  </sheetData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B18"/>
  <sheetViews>
    <sheetView workbookViewId="0">
      <selection activeCell="G7" sqref="G7"/>
    </sheetView>
  </sheetViews>
  <sheetFormatPr defaultRowHeight="16.2" x14ac:dyDescent="0.3"/>
  <cols>
    <col min="1" max="1" width="10.6640625" style="4" bestFit="1" customWidth="1"/>
    <col min="2" max="2" width="15.88671875" customWidth="1"/>
  </cols>
  <sheetData>
    <row r="1" spans="1:2" ht="16.8" thickBot="1" x14ac:dyDescent="0.35">
      <c r="A1" s="6" t="s">
        <v>352</v>
      </c>
      <c r="B1" s="7" t="s">
        <v>351</v>
      </c>
    </row>
    <row r="2" spans="1:2" ht="16.8" thickTop="1" x14ac:dyDescent="0.3">
      <c r="A2" s="8">
        <v>45292</v>
      </c>
      <c r="B2" s="9" t="s">
        <v>351</v>
      </c>
    </row>
    <row r="3" spans="1:2" x14ac:dyDescent="0.3">
      <c r="A3" s="10">
        <v>45330</v>
      </c>
      <c r="B3" s="11" t="s">
        <v>351</v>
      </c>
    </row>
    <row r="4" spans="1:2" x14ac:dyDescent="0.3">
      <c r="A4" s="12">
        <v>45331</v>
      </c>
      <c r="B4" s="5" t="s">
        <v>351</v>
      </c>
    </row>
    <row r="5" spans="1:2" x14ac:dyDescent="0.3">
      <c r="A5" s="10">
        <v>45332</v>
      </c>
      <c r="B5" s="11" t="s">
        <v>351</v>
      </c>
    </row>
    <row r="6" spans="1:2" x14ac:dyDescent="0.3">
      <c r="A6" s="12">
        <v>45333</v>
      </c>
      <c r="B6" s="5" t="s">
        <v>351</v>
      </c>
    </row>
    <row r="7" spans="1:2" x14ac:dyDescent="0.3">
      <c r="A7" s="10">
        <v>45334</v>
      </c>
      <c r="B7" s="11" t="s">
        <v>351</v>
      </c>
    </row>
    <row r="8" spans="1:2" x14ac:dyDescent="0.3">
      <c r="A8" s="12">
        <v>45335</v>
      </c>
      <c r="B8" s="5" t="s">
        <v>351</v>
      </c>
    </row>
    <row r="9" spans="1:2" x14ac:dyDescent="0.3">
      <c r="A9" s="10">
        <v>45336</v>
      </c>
      <c r="B9" s="11" t="s">
        <v>351</v>
      </c>
    </row>
    <row r="10" spans="1:2" x14ac:dyDescent="0.3">
      <c r="A10" s="12">
        <v>45350</v>
      </c>
      <c r="B10" s="5" t="s">
        <v>351</v>
      </c>
    </row>
    <row r="11" spans="1:2" x14ac:dyDescent="0.3">
      <c r="A11" s="10">
        <v>45386</v>
      </c>
      <c r="B11" s="11" t="s">
        <v>351</v>
      </c>
    </row>
    <row r="12" spans="1:2" x14ac:dyDescent="0.3">
      <c r="A12" s="12">
        <v>45387</v>
      </c>
      <c r="B12" s="5" t="s">
        <v>351</v>
      </c>
    </row>
    <row r="13" spans="1:2" x14ac:dyDescent="0.3">
      <c r="A13" s="10">
        <v>45413</v>
      </c>
      <c r="B13" s="11" t="s">
        <v>351</v>
      </c>
    </row>
    <row r="14" spans="1:2" x14ac:dyDescent="0.3">
      <c r="A14" s="12">
        <v>45453</v>
      </c>
      <c r="B14" s="5" t="s">
        <v>351</v>
      </c>
    </row>
    <row r="15" spans="1:2" x14ac:dyDescent="0.3">
      <c r="A15" s="10">
        <v>45551</v>
      </c>
      <c r="B15" s="11" t="s">
        <v>351</v>
      </c>
    </row>
    <row r="16" spans="1:2" x14ac:dyDescent="0.3">
      <c r="A16" s="12">
        <v>45552</v>
      </c>
      <c r="B16" s="5" t="s">
        <v>351</v>
      </c>
    </row>
    <row r="17" spans="1:2" x14ac:dyDescent="0.3">
      <c r="A17" s="10">
        <v>45575</v>
      </c>
      <c r="B17" s="11" t="s">
        <v>351</v>
      </c>
    </row>
    <row r="18" spans="1:2" x14ac:dyDescent="0.3">
      <c r="A18" s="12">
        <v>45576</v>
      </c>
      <c r="B18" s="5" t="s">
        <v>351</v>
      </c>
    </row>
  </sheetData>
  <sortState ref="A2:B18">
    <sortCondition ref="A2:A18"/>
  </sortState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公式表</vt:lpstr>
      <vt:lpstr>工作表2</vt:lpstr>
      <vt:lpstr>狀態清單</vt:lpstr>
      <vt:lpstr>IT名單</vt:lpstr>
      <vt:lpstr>假期對照表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Lin.Sara 林芷如 TAO</dc:creator>
  <cp:lastModifiedBy>Lin.Sara 林芷如 TAO</cp:lastModifiedBy>
  <dcterms:created xsi:type="dcterms:W3CDTF">2024-04-30T05:32:18Z</dcterms:created>
  <dcterms:modified xsi:type="dcterms:W3CDTF">2024-06-11T08:31:38Z</dcterms:modified>
</cp:coreProperties>
</file>